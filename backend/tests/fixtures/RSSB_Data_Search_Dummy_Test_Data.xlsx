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809a47f4b43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83d7473df1c4cbb"/>
    <x:sheet xmlns:r="http://schemas.openxmlformats.org/officeDocument/2006/relationships" name="PDF_Extracted" sheetId="2" r:id="Re20bc8b599574a2b"/>
    <x:sheet xmlns:r="http://schemas.openxmlformats.org/officeDocument/2006/relationships" name="Assignment_Demo" sheetId="3" r:id="R06b72bc215884f42"/>
    <x:sheet xmlns:r="http://schemas.openxmlformats.org/officeDocument/2006/relationships" name="Attendance_Demo" sheetId="4" r:id="R81dafb6a3c4b4eba"/>
    <x:sheet xmlns:r="http://schemas.openxmlformats.org/officeDocument/2006/relationships" name="Vehicle_Demo" sheetId="5" r:id="Rf656dc9bee3f4e61"/>
    <x:sheet xmlns:r="http://schemas.openxmlformats.org/officeDocument/2006/relationships" name="Reports_Index" sheetId="6" r:id="R31461a0321ec40dd"/>
    <x:sheet xmlns:r="http://schemas.openxmlformats.org/officeDocument/2006/relationships" name="Query_Test_Cases" sheetId="7" r:id="R19c3d45cc67442d8"/>
    <x:sheet xmlns:r="http://schemas.openxmlformats.org/officeDocument/2006/relationships" name="Test_Summary" sheetId="8" r:id="R9b0a66df339640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 mmm yyyy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22222"/>
      <x:name val="Carlito"/>
    </x:font>
    <x:font>
      <x:sz val="10"/>
      <x:color rgb="FF222222"/>
      <x:name val="Carlito"/>
    </x:font>
    <x:font>
      <x:b/>
      <x:sz val="12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941B1B"/>
      </x:patternFill>
    </x:fill>
    <x:fill>
      <x:patternFill patternType="solid">
        <x:fgColor rgb="FFF6EAEA"/>
      </x:patternFill>
    </x:fill>
    <x:fill>
      <x:patternFill patternType="solid">
        <x:fgColor rgb="FFEEF6EE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vertical="top" wrapText="1"/>
    </x:xf>
    <x:xf numFmtId="200" fontId="3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vertical="top" wrapText="1"/>
    </x:xf>
    <x:xf numFmtId="200" fontId="3" fillId="5" borderId="1" xfId="0" applyNumberFormat="1" applyFont="1" applyFill="1" applyBorder="1" applyAlignment="1">
      <x:alignment vertical="top" wrapText="1"/>
    </x:xf>
    <x:xf numFmtId="201" fontId="3" fillId="5" borderId="0" xfId="0" applyNumberFormat="1" applyFont="1" applyFill="1" applyBorder="1" applyAlignment="1">
      <x:alignment vertical="top" wrapText="1"/>
    </x:xf>
    <x:xf numFmtId="201" fontId="3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afe8c800aa4086" /><Relationship Type="http://schemas.openxmlformats.org/officeDocument/2006/relationships/theme" Target="/xl/theme/theme1.xml" Id="R1094cde6bc69440c" /><Relationship Type="http://schemas.openxmlformats.org/officeDocument/2006/relationships/sharedStrings" Target="/xl/sharedStrings.xml" Id="R2ae1738fa0374ef4" /><Relationship Type="http://schemas.openxmlformats.org/officeDocument/2006/relationships/worksheet" Target="/xl/worksheets/sheet1.xml" Id="Rf83d7473df1c4cbb" /><Relationship Type="http://schemas.openxmlformats.org/officeDocument/2006/relationships/worksheet" Target="/xl/worksheets/sheet2.xml" Id="Re20bc8b599574a2b" /><Relationship Type="http://schemas.openxmlformats.org/officeDocument/2006/relationships/worksheet" Target="/xl/worksheets/sheet3.xml" Id="R06b72bc215884f42" /><Relationship Type="http://schemas.openxmlformats.org/officeDocument/2006/relationships/worksheet" Target="/xl/worksheets/sheet4.xml" Id="R81dafb6a3c4b4eba" /><Relationship Type="http://schemas.openxmlformats.org/officeDocument/2006/relationships/worksheet" Target="/xl/worksheets/sheet5.xml" Id="Rf656dc9bee3f4e61" /><Relationship Type="http://schemas.openxmlformats.org/officeDocument/2006/relationships/worksheet" Target="/xl/worksheets/sheet6.xml" Id="R31461a0321ec40dd" /><Relationship Type="http://schemas.openxmlformats.org/officeDocument/2006/relationships/worksheet" Target="/xl/worksheets/sheet7.xml" Id="R19c3d45cc67442d8" /><Relationship Type="http://schemas.openxmlformats.org/officeDocument/2006/relationships/worksheet" Target="/xl/worksheets/sheet8.xml" Id="R9b0a66df339640e1" /></Relationships>
</file>

<file path=xl/tables/table1.xml><?xml version="1.0" encoding="utf-8"?>
<x:table xmlns:x="http://schemas.openxmlformats.org/spreadsheetml/2006/main" id="1" name="PDFExtractedTable" displayName="PDFExtractedTable" ref="A3:D85" headerRowCount="1" totalsRowCount="0" totalsRowShown="0">
  <x:tableColumns count="4">
    <x:tableColumn id="1" name="Line"/>
    <x:tableColumn id="2" name="Parsed text"/>
    <x:tableColumn id="3" name="Source file"/>
    <x:tableColumn id="4" name="P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ignmentDemoTable" displayName="AssignmentDemoTable" ref="A3:K82" headerRowCount="1" totalsRowCount="0" totalsRowShown="0">
  <x:tableColumns count="11">
    <x:tableColumn id="1" name="Record ID"/>
    <x:tableColumn id="2" name="Date"/>
    <x:tableColumn id="3" name="Major Center"/>
    <x:tableColumn id="4" name="Satsang Ghar"/>
    <x:tableColumn id="5" name="Person"/>
    <x:tableColumn id="6" name="Role"/>
    <x:tableColumn id="7" name="Assignment Note"/>
    <x:tableColumn id="8" name="Source Type"/>
    <x:tableColumn id="9" name="Source File"/>
    <x:tableColumn id="10" name="Source Page"/>
    <x:tableColumn id="11" name="Data Origi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ttendanceDemoTable" displayName="AttendanceDemoTable" ref="A3:J79" headerRowCount="1" totalsRowCount="0" totalsRowShown="0">
  <x:tableColumns count="10">
    <x:tableColumn id="1" name="Record ID"/>
    <x:tableColumn id="2" name="Date"/>
    <x:tableColumn id="3" name="Month"/>
    <x:tableColumn id="4" name="Major Center"/>
    <x:tableColumn id="5" name="Satsang Ghar"/>
    <x:tableColumn id="6" name="Attendance"/>
    <x:tableColumn id="7" name="Session Type"/>
    <x:tableColumn id="8" name="Source Type"/>
    <x:tableColumn id="9" name="Source File"/>
    <x:tableColumn id="10" name="Data Origi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ehicleDemoTable" displayName="VehicleDemoTable" ref="A3:J79" headerRowCount="1" totalsRowCount="0" totalsRowShown="0">
  <x:tableColumns count="10">
    <x:tableColumn id="1" name="Record ID"/>
    <x:tableColumn id="2" name="Date"/>
    <x:tableColumn id="3" name="Major Center"/>
    <x:tableColumn id="4" name="Satsang Ghar"/>
    <x:tableColumn id="5" name="2-Wheelers"/>
    <x:tableColumn id="6" name="4-Wheelers"/>
    <x:tableColumn id="7" name="Total Vehicles"/>
    <x:tableColumn id="8" name="Source Type"/>
    <x:tableColumn id="9" name="Source File"/>
    <x:tableColumn id="10" name="Data Origi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portsIndexTable" displayName="ReportsIndexTable" ref="A3:J9" headerRowCount="1" totalsRowCount="0" totalsRowShown="0">
  <x:tableColumns count="10">
    <x:tableColumn id="1" name="Report ID"/>
    <x:tableColumn id="2" name="Report Type"/>
    <x:tableColumn id="3" name="Month"/>
    <x:tableColumn id="4" name="Major Center"/>
    <x:tableColumn id="5" name="File Name"/>
    <x:tableColumn id="6" name="File Type"/>
    <x:tableColumn id="7" name="Coverage"/>
    <x:tableColumn id="8" name="Status"/>
    <x:tableColumn id="9" name="Source Location"/>
    <x:tableColumn id="10" name="Data Origi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eryTestCasesTable" displayName="QueryTestCasesTable" ref="A3:J13" headerRowCount="1" totalsRowCount="0" totalsRowShown="0">
  <x:tableColumns count="10">
    <x:tableColumn id="1" name="Test ID"/>
    <x:tableColumn id="2" name="User Question"/>
    <x:tableColumn id="3" name="Query Type"/>
    <x:tableColumn id="4" name="Date Filter"/>
    <x:tableColumn id="5" name="Location Filter"/>
    <x:tableColumn id="6" name="Person Filter"/>
    <x:tableColumn id="7" name="Metric / Operation"/>
    <x:tableColumn id="8" name="Expected Source"/>
    <x:tableColumn id="9" name="Expected Behaviour"/>
    <x:tableColumn id="10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12861a844146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3bc0c2c15441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ba8092d0e44f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7238f952d94c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dfdb19575f43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f43fefda024a0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3" max="3" width="28" hidden="0" customWidth="1"/>
    <x:col min="4" max="4" width="28" hidden="0" customWidth="1"/>
  </x:cols>
  <x:sheetData>
    <x:row r="1" ht="28" customHeight="1">
      <x:c r="A1" s="5" t="str">
        <x:v>RSSB Data Search — Dummy Excel Test Pack</x:v>
      </x:c>
      <x:c r="B1" s="5" t="str">
        <x:v>RSSB Data Search — Dummy Excel Test Pack</x:v>
      </x:c>
      <x:c r="C1" s="5" t="str">
        <x:v>RSSB Data Search — Dummy Excel Test Pack</x:v>
      </x:c>
      <x:c r="D1" s="5" t="str">
        <x:v>RSSB Data Search — Dummy Excel Test Pack</x:v>
      </x:c>
      <x:c r="E1" s="5" t="str">
        <x:v>RSSB Data Search — Dummy Excel Test Pack</x:v>
      </x:c>
      <x:c r="F1" s="5" t="str">
        <x:v>RSSB Data Search — Dummy Excel Test Pack</x:v>
      </x:c>
      <x:c r="G1" s="5" t="str">
        <x:v>RSSB Data Search — Dummy Excel Test Pack</x:v>
      </x:c>
      <x:c r="H1" s="5" t="str">
        <x:v>RSSB Data Search — Dummy Excel Test Pack</x:v>
      </x:c>
    </x:row>
    <x:row r="3">
      <x:c r="A3" t="str">
        <x:v>Purpose</x:v>
      </x:c>
      <x:c r="B3" t="str">
        <x:v>A prototype workbook for testing the product brain: understand → find → filter → calculate → verify → source.</x:v>
      </x:c>
      <x:c r="C3"/>
      <x:c r="D3"/>
      <x:c r="E3"/>
      <x:c r="F3"/>
      <x:c r="G3"/>
      <x:c r="H3"/>
    </x:row>
    <x:row r="5">
      <x:c r="A5" s="14" t="str">
        <x:v>Sheet</x:v>
      </x:c>
      <x:c r="B5" s="14" t="str">
        <x:v>What it contains</x:v>
      </x:c>
      <x:c r="C5" s="14" t="str">
        <x:v>Origin</x:v>
      </x:c>
      <x:c r="D5" s="14" t="str">
        <x:v>Why it exists</x:v>
      </x:c>
      <x:c r="E5"/>
      <x:c r="F5"/>
      <x:c r="G5"/>
      <x:c r="H5"/>
    </x:row>
    <x:row r="6">
      <x:c r="A6" s="22" t="str">
        <x:v>PDF_Extracted</x:v>
      </x:c>
      <x:c r="B6" s="22" t="str">
        <x:v>Faithful parsed lines from the sample September 2026 PDF</x:v>
      </x:c>
      <x:c r="C6" s="22" t="str">
        <x:v>Source file</x:v>
      </x:c>
      <x:c r="D6" s="22" t="str">
        <x:v>Keeps the example PDF data without pretending the PDF parser preserved table columns.</x:v>
      </x:c>
      <x:c r="E6"/>
      <x:c r="F6"/>
      <x:c r="G6"/>
      <x:c r="H6"/>
    </x:row>
    <x:row r="7">
      <x:c r="A7" s="22" t="str">
        <x:v>Assignment_Demo</x:v>
      </x:c>
      <x:c r="B7" s="22" t="str">
        <x:v>Structured rows for natural-language search testing</x:v>
      </x:c>
      <x:c r="C7" s="22" t="str">
        <x:v>Mixed: 3 source-based + synthetic demo rows</x:v>
      </x:c>
      <x:c r="D7" s="22" t="str">
        <x:v>Tests lookup, date filter, location filter, role filter, and source linking.</x:v>
      </x:c>
      <x:c r="E7"/>
      <x:c r="F7"/>
      <x:c r="G7"/>
      <x:c r="H7"/>
    </x:row>
    <x:row r="8">
      <x:c r="A8" s="22" t="str">
        <x:v>Attendance_Demo</x:v>
      </x:c>
      <x:c r="B8" s="22" t="str">
        <x:v>Monthly attendance-like records</x:v>
      </x:c>
      <x:c r="C8" s="22" t="str">
        <x:v>Synthetic demo</x:v>
      </x:c>
      <x:c r="D8" s="22" t="str">
        <x:v>Tests count, sum, average, comparison, and monthly reporting.</x:v>
      </x:c>
      <x:c r="E8"/>
      <x:c r="F8"/>
      <x:c r="G8"/>
      <x:c r="H8"/>
    </x:row>
    <x:row r="9">
      <x:c r="A9" s="22" t="str">
        <x:v>Vehicle_Demo</x:v>
      </x:c>
      <x:c r="B9" s="22" t="str">
        <x:v>2-wheeler / 4-wheeler counts</x:v>
      </x:c>
      <x:c r="C9" s="22" t="str">
        <x:v>Synthetic demo</x:v>
      </x:c>
      <x:c r="D9" s="22" t="str">
        <x:v>Tests numeric aggregation and derived totals.</x:v>
      </x:c>
      <x:c r="E9"/>
      <x:c r="F9"/>
      <x:c r="G9"/>
      <x:c r="H9"/>
    </x:row>
    <x:row r="10">
      <x:c r="A10" s="22" t="str">
        <x:v>Reports_Index</x:v>
      </x:c>
      <x:c r="B10" s="22" t="str">
        <x:v>Demo report/file inventory</x:v>
      </x:c>
      <x:c r="C10" s="22" t="str">
        <x:v>Synthetic demo</x:v>
      </x:c>
      <x:c r="D10" s="22" t="str">
        <x:v>Tests report-type and month/file lookup.</x:v>
      </x:c>
      <x:c r="E10"/>
      <x:c r="F10"/>
      <x:c r="G10"/>
      <x:c r="H10"/>
    </x:row>
    <x:row r="11">
      <x:c r="A11" s="22" t="str">
        <x:v>Query_Test_Cases</x:v>
      </x:c>
      <x:c r="B11" s="22" t="str">
        <x:v>Natural-language questions + expected structured interpretation</x:v>
      </x:c>
      <x:c r="C11" s="22" t="str">
        <x:v>Synthetic test cases based on the product vocabulary</x:v>
      </x:c>
      <x:c r="D11" s="22" t="str">
        <x:v>Useful as a first test set for the search/AI layer.</x:v>
      </x:c>
      <x:c r="E11"/>
      <x:c r="F11"/>
      <x:c r="G11"/>
      <x:c r="H11"/>
    </x:row>
    <x:row r="13">
      <x:c r="A13" s="14" t="str">
        <x:v>Important</x:v>
      </x:c>
      <x:c r="B13" s="14"/>
      <x:c r="C13"/>
      <x:c r="D13"/>
      <x:c r="E13"/>
      <x:c r="F13"/>
      <x:c r="G13"/>
      <x:c r="H13"/>
    </x:row>
    <x:row r="14">
      <x:c r="A14" s="22" t="str">
        <x:v>PDF-derived vs synthetic</x:v>
      </x:c>
      <x:c r="B14" s="22" t="str">
        <x:v>Rows marked PDF-Derived are based on what the uploaded PDF visibly/textually supports. Rows marked Synthetic are invented only for testing.</x:v>
      </x:c>
      <x:c r="C14"/>
      <x:c r="D14"/>
      <x:c r="E14"/>
      <x:c r="F14"/>
      <x:c r="G14"/>
      <x:c r="H14"/>
    </x:row>
    <x:row r="15">
      <x:c r="A15" s="22" t="str">
        <x:v>Do not treat the sample PDF as the final schema</x:v>
      </x:c>
      <x:c r="B15" s="22" t="str">
        <x:v>The structured demo is a prototype schema to test the brain, not a claim about the office's real data model.</x:v>
      </x:c>
      <x:c r="C15"/>
      <x:c r="D15"/>
      <x:c r="E15"/>
      <x:c r="F15"/>
      <x:c r="G15"/>
      <x:c r="H15"/>
    </x:row>
    <x:row r="16">
      <x:c r="A16" s="22" t="str">
        <x:v>Source rule</x:v>
      </x:c>
      <x:c r="B16" s="22" t="str">
        <x:v>Keep source file + page/sheet on every useful extracted/structured record so answers can be verified.</x:v>
      </x:c>
      <x:c r="C16"/>
      <x:c r="D16"/>
      <x:c r="E16"/>
      <x:c r="F16"/>
      <x:c r="G16"/>
      <x:c r="H16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72" hidden="0" customWidth="1"/>
    <x:col min="3" max="3" width="32" hidden="0" customWidth="1"/>
    <x:col min="4" max="4" width="9" hidden="0" customWidth="1"/>
  </x:cols>
  <x:sheetData>
    <x:row r="1" ht="28" customHeight="1">
      <x:c r="A1" s="5" t="str">
        <x:v>Sample PDF — Extracted Reference Lines</x:v>
      </x:c>
      <x:c r="B1" s="5" t="str">
        <x:v>Sample PDF — Extracted Reference Lines</x:v>
      </x:c>
      <x:c r="C1" s="5" t="str">
        <x:v>Sample PDF — Extracted Reference Lines</x:v>
      </x:c>
      <x:c r="D1" s="5" t="str">
        <x:v>Sample PDF — Extracted Reference Lines</x:v>
      </x:c>
    </x:row>
    <x:row r="3">
      <x:c r="A3" s="14" t="str">
        <x:v>Line</x:v>
      </x:c>
      <x:c r="B3" s="14" t="str">
        <x:v>Parsed text</x:v>
      </x:c>
      <x:c r="C3" s="14" t="str">
        <x:v>Source file</x:v>
      </x:c>
      <x:c r="D3" s="14" t="str">
        <x:v>Page</x:v>
      </x:c>
    </x:row>
    <x:row r="4">
      <x:c r="A4" s="22" t="n">
        <x:v>1</x:v>
      </x:c>
      <x:c r="B4" s="22" t="str">
        <x:v>Radha Soami Satsang Beas, IndoreArea (September 2026)</x:v>
      </x:c>
      <x:c r="C4" s="22" t="str">
        <x:v>sunday 2026 sep (1)_signed.pdf</x:v>
      </x:c>
      <x:c r="D4" s="22" t="n">
        <x:v>1</x:v>
      </x:c>
    </x:row>
    <x:row r="5">
      <x:c r="A5" s="22" t="n">
        <x:v>2</x:v>
      </x:c>
      <x:c r="B5" s="22" t="str">
        <x:v>Satsang Ghar.</x:v>
      </x:c>
      <x:c r="C5" s="22" t="str">
        <x:v>sunday 2026 sep (1)_signed.pdf</x:v>
      </x:c>
      <x:c r="D5" s="22" t="n">
        <x:v>1</x:v>
      </x:c>
    </x:row>
    <x:row r="6">
      <x:c r="A6" s="22" t="n">
        <x:v>3</x:v>
      </x:c>
      <x:c r="B6" s="22" t="str">
        <x:v>I Sunday II Sunday III Sunday IV Sunday</x:v>
      </x:c>
      <x:c r="C6" s="22" t="str">
        <x:v>sunday 2026 sep (1)_signed.pdf</x:v>
      </x:c>
      <x:c r="D6" s="22" t="n">
        <x:v>1</x:v>
      </x:c>
    </x:row>
    <x:row r="7">
      <x:c r="A7" s="22" t="n">
        <x:v>4</x:v>
      </x:c>
      <x:c r="B7" s="22" t="str">
        <x:v>6 September 2026 | 13 September 2026 | 20 September 2026 | 27 September 2026</x:v>
      </x:c>
      <x:c r="C7" s="22" t="str">
        <x:v>sunday 2026 sep (1)_signed.pdf</x:v>
      </x:c>
      <x:c r="D7" s="22" t="n">
        <x:v>1</x:v>
      </x:c>
    </x:row>
    <x:row r="8">
      <x:c r="A8" s="22" t="n">
        <x:v>5</x:v>
      </x:c>
      <x:c r="B8" s="22" t="str">
        <x:v>VIDEO CD | SK/SR | SK/SR | SK/SR</x:v>
      </x:c>
      <x:c r="C8" s="22" t="str">
        <x:v>sunday 2026 sep (1)_signed.pdf</x:v>
      </x:c>
      <x:c r="D8" s="22" t="n">
        <x:v>1</x:v>
      </x:c>
    </x:row>
    <x:row r="9">
      <x:c r="A9" s="22" t="n">
        <x:v>6</x:v>
      </x:c>
      <x:c r="B9" s="22" t="str">
        <x:v>1 | 2 | 3 | 4 | 5 | 6 | 7 | 8 | 9 | 10 | 11 | 12 | 13 | 14 | 15 | 16 | 17 | 18 | 19</x:v>
      </x:c>
      <x:c r="C9" s="22" t="str">
        <x:v>sunday 2026 sep (1)_signed.pdf</x:v>
      </x:c>
      <x:c r="D9" s="22" t="n">
        <x:v>1</x:v>
      </x:c>
    </x:row>
    <x:row r="10">
      <x:c r="A10" s="22" t="n">
        <x:v>7</x:v>
      </x:c>
      <x:c r="B10" s="22" t="str">
        <x:v>Sukhliya</x:v>
      </x:c>
      <x:c r="C10" s="22" t="str">
        <x:v>sunday 2026 sep (1)_signed.pdf</x:v>
      </x:c>
      <x:c r="D10" s="22" t="n">
        <x:v>1</x:v>
      </x:c>
    </x:row>
    <x:row r="11">
      <x:c r="A11" s="22" t="n">
        <x:v>8</x:v>
      </x:c>
      <x:c r="B11" s="22" t="str">
        <x:v>Kila Road</x:v>
      </x:c>
      <x:c r="C11" s="22" t="str">
        <x:v>sunday 2026 sep (1)_signed.pdf</x:v>
      </x:c>
      <x:c r="D11" s="22" t="n">
        <x:v>1</x:v>
      </x:c>
    </x:row>
    <x:row r="12">
      <x:c r="A12" s="22" t="n">
        <x:v>9</x:v>
      </x:c>
      <x:c r="B12" s="22" t="str">
        <x:v>Manglia</x:v>
      </x:c>
      <x:c r="C12" s="22" t="str">
        <x:v>sunday 2026 sep (1)_signed.pdf</x:v>
      </x:c>
      <x:c r="D12" s="22" t="n">
        <x:v>1</x:v>
      </x:c>
    </x:row>
    <x:row r="13">
      <x:c r="A13" s="22" t="n">
        <x:v>10</x:v>
      </x:c>
      <x:c r="B13" s="22" t="str">
        <x:v>Bicholi Hapsi</x:v>
      </x:c>
      <x:c r="C13" s="22" t="str">
        <x:v>sunday 2026 sep (1)_signed.pdf</x:v>
      </x:c>
      <x:c r="D13" s="22" t="n">
        <x:v>1</x:v>
      </x:c>
    </x:row>
    <x:row r="14">
      <x:c r="A14" s="22" t="n">
        <x:v>11</x:v>
      </x:c>
      <x:c r="B14" s="22" t="str">
        <x:v>Har Ki Pooja Dulambh Hai Amarjeet Arora</x:v>
      </x:c>
      <x:c r="C14" s="22" t="str">
        <x:v>sunday 2026 sep (1)_signed.pdf</x:v>
      </x:c>
      <x:c r="D14" s="22" t="n">
        <x:v>1</x:v>
      </x:c>
    </x:row>
    <x:row r="15">
      <x:c r="A15" s="22" t="n">
        <x:v>12</x:v>
      </x:c>
      <x:c r="B15" s="22" t="str">
        <x:v>Har Ki Pooja Dulambh Hai</x:v>
      </x:c>
      <x:c r="C15" s="22" t="str">
        <x:v>sunday 2026 sep (1)_signed.pdf</x:v>
      </x:c>
      <x:c r="D15" s="22" t="n">
        <x:v>1</x:v>
      </x:c>
    </x:row>
    <x:row r="16">
      <x:c r="A16" s="22" t="n">
        <x:v>13</x:v>
      </x:c>
      <x:c r="B16" s="22" t="str">
        <x:v>Har Ki Pooja Dulambh Hai</x:v>
      </x:c>
      <x:c r="C16" s="22" t="str">
        <x:v>sunday 2026 sep (1)_signed.pdf</x:v>
      </x:c>
      <x:c r="D16" s="22" t="n">
        <x:v>1</x:v>
      </x:c>
    </x:row>
    <x:row r="17">
      <x:c r="A17" s="22" t="n">
        <x:v>14</x:v>
      </x:c>
      <x:c r="B17" s="22" t="str">
        <x:v>Har Ki Pooja Dulambh Hai</x:v>
      </x:c>
      <x:c r="C17" s="22" t="str">
        <x:v>sunday 2026 sep (1)_signed.pdf</x:v>
      </x:c>
      <x:c r="D17" s="22" t="n">
        <x:v>1</x:v>
      </x:c>
    </x:row>
    <x:row r="18">
      <x:c r="A18" s="22" t="n">
        <x:v>15</x:v>
      </x:c>
      <x:c r="B18" s="22" t="str">
        <x:v>Har Ki Pooja Dulambh Hai</x:v>
      </x:c>
      <x:c r="C18" s="22" t="str">
        <x:v>sunday 2026 sep (1)_signed.pdf</x:v>
      </x:c>
      <x:c r="D18" s="22" t="n">
        <x:v>1</x:v>
      </x:c>
    </x:row>
    <x:row r="19">
      <x:c r="A19" s="22" t="n">
        <x:v>16</x:v>
      </x:c>
      <x:c r="B19" s="22" t="str">
        <x:v>Har Ki Pooja Dulambh Hai</x:v>
      </x:c>
      <x:c r="C19" s="22" t="str">
        <x:v>sunday 2026 sep (1)_signed.pdf</x:v>
      </x:c>
      <x:c r="D19" s="22" t="n">
        <x:v>1</x:v>
      </x:c>
    </x:row>
    <x:row r="20">
      <x:c r="A20" s="22" t="n">
        <x:v>17</x:v>
      </x:c>
      <x:c r="B20" s="22" t="str">
        <x:v>Har Ki Pooja Dulambh Hai</x:v>
      </x:c>
      <x:c r="C20" s="22" t="str">
        <x:v>sunday 2026 sep (1)_signed.pdf</x:v>
      </x:c>
      <x:c r="D20" s="22" t="n">
        <x:v>1</x:v>
      </x:c>
    </x:row>
    <x:row r="21">
      <x:c r="A21" s="22" t="n">
        <x:v>18</x:v>
      </x:c>
      <x:c r="B21" s="22" t="str">
        <x:v>Har Ki Pooja Dulambh Hai</x:v>
      </x:c>
      <x:c r="C21" s="22" t="str">
        <x:v>sunday 2026 sep (1)_signed.pdf</x:v>
      </x:c>
      <x:c r="D21" s="22" t="n">
        <x:v>1</x:v>
      </x:c>
    </x:row>
    <x:row r="22">
      <x:c r="A22" s="22" t="n">
        <x:v>19</x:v>
      </x:c>
      <x:c r="B22" s="22" t="str">
        <x:v>Har Ki Pooja Dulambh Hai</x:v>
      </x:c>
      <x:c r="C22" s="22" t="str">
        <x:v>sunday 2026 sep (1)_signed.pdf</x:v>
      </x:c>
      <x:c r="D22" s="22" t="n">
        <x:v>1</x:v>
      </x:c>
    </x:row>
    <x:row r="23">
      <x:c r="A23" s="22" t="n">
        <x:v>20</x:v>
      </x:c>
      <x:c r="B23" s="22" t="str">
        <x:v>Har Ki Pooja Dulambh Hai</x:v>
      </x:c>
      <x:c r="C23" s="22" t="str">
        <x:v>sunday 2026 sep (1)_signed.pdf</x:v>
      </x:c>
      <x:c r="D23" s="22" t="n">
        <x:v>1</x:v>
      </x:c>
    </x:row>
    <x:row r="24">
      <x:c r="A24" s="22" t="n">
        <x:v>21</x:v>
      </x:c>
      <x:c r="B24" s="22" t="str">
        <x:v>Har Ki Pooja Dulambh Hai</x:v>
      </x:c>
      <x:c r="C24" s="22" t="str">
        <x:v>sunday 2026 sep (1)_signed.pdf</x:v>
      </x:c>
      <x:c r="D24" s="22" t="n">
        <x:v>1</x:v>
      </x:c>
    </x:row>
    <x:row r="25">
      <x:c r="A25" s="22" t="n">
        <x:v>22</x:v>
      </x:c>
      <x:c r="B25" s="22" t="str">
        <x:v>Har Ki Pooja Dulambh Hai</x:v>
      </x:c>
      <x:c r="C25" s="22" t="str">
        <x:v>sunday 2026 sep (1)_signed.pdf</x:v>
      </x:c>
      <x:c r="D25" s="22" t="n">
        <x:v>1</x:v>
      </x:c>
    </x:row>
    <x:row r="26">
      <x:c r="A26" s="22" t="n">
        <x:v>23</x:v>
      </x:c>
      <x:c r="B26" s="22" t="str">
        <x:v>Har Ki Pooja Dulambh Hai</x:v>
      </x:c>
      <x:c r="C26" s="22" t="str">
        <x:v>sunday 2026 sep (1)_signed.pdf</x:v>
      </x:c>
      <x:c r="D26" s="22" t="n">
        <x:v>1</x:v>
      </x:c>
    </x:row>
    <x:row r="27">
      <x:c r="A27" s="22" t="n">
        <x:v>24</x:v>
      </x:c>
      <x:c r="B27" s="22" t="str">
        <x:v>Har Ki Pooja Dulambh Hai</x:v>
      </x:c>
      <x:c r="C27" s="22" t="str">
        <x:v>sunday 2026 sep (1)_signed.pdf</x:v>
      </x:c>
      <x:c r="D27" s="22" t="n">
        <x:v>1</x:v>
      </x:c>
    </x:row>
    <x:row r="28">
      <x:c r="A28" s="22" t="n">
        <x:v>25</x:v>
      </x:c>
      <x:c r="B28" s="22" t="str">
        <x:v>Har Ki Pooja Dulambh Hai</x:v>
      </x:c>
      <x:c r="C28" s="22" t="str">
        <x:v>sunday 2026 sep (1)_signed.pdf</x:v>
      </x:c>
      <x:c r="D28" s="22" t="n">
        <x:v>1</x:v>
      </x:c>
    </x:row>
    <x:row r="29">
      <x:c r="A29" s="22" t="n">
        <x:v>26</x:v>
      </x:c>
      <x:c r="B29" s="22" t="str">
        <x:v>Har Ki Pooja Dulambh Hai</x:v>
      </x:c>
      <x:c r="C29" s="22" t="str">
        <x:v>sunday 2026 sep (1)_signed.pdf</x:v>
      </x:c>
      <x:c r="D29" s="22" t="n">
        <x:v>1</x:v>
      </x:c>
    </x:row>
    <x:row r="30">
      <x:c r="A30" s="22" t="n">
        <x:v>27</x:v>
      </x:c>
      <x:c r="B30" s="22" t="str">
        <x:v>Har Ki Pooja Dulambh Hai</x:v>
      </x:c>
      <x:c r="C30" s="22" t="str">
        <x:v>sunday 2026 sep (1)_signed.pdf</x:v>
      </x:c>
      <x:c r="D30" s="22" t="n">
        <x:v>1</x:v>
      </x:c>
    </x:row>
    <x:row r="31">
      <x:c r="A31" s="22" t="n">
        <x:v>28</x:v>
      </x:c>
      <x:c r="B31" s="22" t="str">
        <x:v>Har Ki Pooja Dulambh Hai</x:v>
      </x:c>
      <x:c r="C31" s="22" t="str">
        <x:v>sunday 2026 sep (1)_signed.pdf</x:v>
      </x:c>
      <x:c r="D31" s="22" t="n">
        <x:v>1</x:v>
      </x:c>
    </x:row>
    <x:row r="32">
      <x:c r="A32" s="22" t="n">
        <x:v>29</x:v>
      </x:c>
      <x:c r="B32" s="22" t="str">
        <x:v>Har Ki Pooja Dulambh Hai</x:v>
      </x:c>
      <x:c r="C32" s="22" t="str">
        <x:v>sunday 2026 sep (1)_signed.pdf</x:v>
      </x:c>
      <x:c r="D32" s="22" t="n">
        <x:v>1</x:v>
      </x:c>
    </x:row>
    <x:row r="33">
      <x:c r="A33" s="22" t="n">
        <x:v>30</x:v>
      </x:c>
      <x:c r="B33" s="22" t="str">
        <x:v>Har Ki Pooja Dulambh Hai</x:v>
      </x:c>
      <x:c r="C33" s="22" t="str">
        <x:v>sunday 2026 sep (1)_signed.pdf</x:v>
      </x:c>
      <x:c r="D33" s="22" t="n">
        <x:v>1</x:v>
      </x:c>
    </x:row>
    <x:row r="34">
      <x:c r="A34" s="22" t="n">
        <x:v>31</x:v>
      </x:c>
      <x:c r="B34" s="22" t="str">
        <x:v>SK from Other area Bhojraj Rajani</x:v>
      </x:c>
      <x:c r="C34" s="22" t="str">
        <x:v>sunday 2026 sep (1)_signed.pdf</x:v>
      </x:c>
      <x:c r="D34" s="22" t="n">
        <x:v>1</x:v>
      </x:c>
    </x:row>
    <x:row r="35">
      <x:c r="A35" s="22" t="n">
        <x:v>32</x:v>
      </x:c>
      <x:c r="B35" s="22" t="str">
        <x:v>Kavita Rajani SK from Other area</x:v>
      </x:c>
      <x:c r="C35" s="22" t="str">
        <x:v>sunday 2026 sep (1)_signed.pdf</x:v>
      </x:c>
      <x:c r="D35" s="22" t="n">
        <x:v>1</x:v>
      </x:c>
    </x:row>
    <x:row r="36">
      <x:c r="A36" s="22" t="n">
        <x:v>33</x:v>
      </x:c>
      <x:c r="B36" s="22" t="str">
        <x:v>Krishna Parmar SK from Other area Rakhi Kapoor</x:v>
      </x:c>
      <x:c r="C36" s="22" t="str">
        <x:v>sunday 2026 sep (1)_signed.pdf</x:v>
      </x:c>
      <x:c r="D36" s="22" t="n">
        <x:v>1</x:v>
      </x:c>
    </x:row>
    <x:row r="37">
      <x:c r="A37" s="22" t="n">
        <x:v>34</x:v>
      </x:c>
      <x:c r="B37" s="22" t="str">
        <x:v>Jyoti Vatnani SK from Other area Girish Bhagwani</x:v>
      </x:c>
      <x:c r="C37" s="22" t="str">
        <x:v>sunday 2026 sep (1)_signed.pdf</x:v>
      </x:c>
      <x:c r="D37" s="22" t="n">
        <x:v>1</x:v>
      </x:c>
    </x:row>
    <x:row r="38">
      <x:c r="A38" s="22" t="n">
        <x:v>35</x:v>
      </x:c>
      <x:c r="B38" s="22" t="str">
        <x:v>Kavita Longwani SK from Other area</x:v>
      </x:c>
      <x:c r="C38" s="22" t="str">
        <x:v>sunday 2026 sep (1)_signed.pdf</x:v>
      </x:c>
      <x:c r="D38" s="22" t="n">
        <x:v>1</x:v>
      </x:c>
    </x:row>
    <x:row r="39">
      <x:c r="A39" s="22" t="n">
        <x:v>36</x:v>
      </x:c>
      <x:c r="B39" s="22" t="str">
        <x:v>Deepa Wadhwa Bhavna Talreja Mohan Vatnani Santosh Parmar M.L. Dhiman Mohan Vatnani</x:v>
      </x:c>
      <x:c r="C39" s="22" t="str">
        <x:v>sunday 2026 sep (1)_signed.pdf</x:v>
      </x:c>
      <x:c r="D39" s="22" t="n">
        <x:v>1</x:v>
      </x:c>
    </x:row>
    <x:row r="40">
      <x:c r="A40" s="22" t="n">
        <x:v>37</x:v>
      </x:c>
      <x:c r="B40" s="22" t="str">
        <x:v>Santosh Parmar Rajesh Wadhwani</x:v>
      </x:c>
      <x:c r="C40" s="22" t="str">
        <x:v>sunday 2026 sep (1)_signed.pdf</x:v>
      </x:c>
      <x:c r="D40" s="22" t="n">
        <x:v>1</x:v>
      </x:c>
    </x:row>
    <x:row r="41">
      <x:c r="A41" s="22" t="n">
        <x:v>38</x:v>
      </x:c>
      <x:c r="B41" s="22" t="str">
        <x:v>Rahul Solanki M.L. Dhiman Minakshi Sahajwani Jaya Ahuja</x:v>
      </x:c>
      <x:c r="C41" s="22" t="str">
        <x:v>sunday 2026 sep (1)_signed.pdf</x:v>
      </x:c>
      <x:c r="D41" s="22" t="n">
        <x:v>1</x:v>
      </x:c>
    </x:row>
    <x:row r="42">
      <x:c r="A42" s="22" t="n">
        <x:v>39</x:v>
      </x:c>
      <x:c r="B42" s="22" t="str">
        <x:v>Parmanand Malviya Leela Kakwani</x:v>
      </x:c>
      <x:c r="C42" s="22" t="str">
        <x:v>sunday 2026 sep (1)_signed.pdf</x:v>
      </x:c>
      <x:c r="D42" s="22" t="n">
        <x:v>1</x:v>
      </x:c>
    </x:row>
    <x:row r="43">
      <x:c r="A43" s="22" t="n">
        <x:v>40</x:v>
      </x:c>
      <x:c r="B43" s="22" t="str">
        <x:v>Arjun Parmar Parmanand Malviya</x:v>
      </x:c>
      <x:c r="C43" s="22" t="str">
        <x:v>sunday 2026 sep (1)_signed.pdf</x:v>
      </x:c>
      <x:c r="D43" s="22" t="n">
        <x:v>1</x:v>
      </x:c>
    </x:row>
    <x:row r="44">
      <x:c r="A44" s="22" t="n">
        <x:v>41</x:v>
      </x:c>
      <x:c r="B44" s="22" t="str">
        <x:v>Rajesh Wadhwani Satsang Karta from Dewas</x:v>
      </x:c>
      <x:c r="C44" s="22" t="str">
        <x:v>sunday 2026 sep (1)_signed.pdf</x:v>
      </x:c>
      <x:c r="D44" s="22" t="n">
        <x:v>1</x:v>
      </x:c>
    </x:row>
    <x:row r="45">
      <x:c r="A45" s="22" t="n">
        <x:v>42</x:v>
      </x:c>
      <x:c r="B45" s="22" t="str">
        <x:v>Satsang Karta from Dewas</x:v>
      </x:c>
      <x:c r="C45" s="22" t="str">
        <x:v>sunday 2026 sep (1)_signed.pdf</x:v>
      </x:c>
      <x:c r="D45" s="22" t="n">
        <x:v>1</x:v>
      </x:c>
    </x:row>
    <x:row r="46">
      <x:c r="A46" s="22" t="n">
        <x:v>43</x:v>
      </x:c>
      <x:c r="B46" s="22" t="str">
        <x:v>Satsang Karta from Dewas</x:v>
      </x:c>
      <x:c r="C46" s="22" t="str">
        <x:v>sunday 2026 sep (1)_signed.pdf</x:v>
      </x:c>
      <x:c r="D46" s="22" t="n">
        <x:v>1</x:v>
      </x:c>
    </x:row>
    <x:row r="47">
      <x:c r="A47" s="22" t="n">
        <x:v>44</x:v>
      </x:c>
      <x:c r="B47" s="22" t="str">
        <x:v>Satsang Karta from Dewas</x:v>
      </x:c>
      <x:c r="C47" s="22" t="str">
        <x:v>sunday 2026 sep (1)_signed.pdf</x:v>
      </x:c>
      <x:c r="D47" s="22" t="n">
        <x:v>1</x:v>
      </x:c>
    </x:row>
    <x:row r="48">
      <x:c r="A48" s="22" t="n">
        <x:v>45</x:v>
      </x:c>
      <x:c r="B48" s="22" t="str">
        <x:v>Leela Kakwani</x:v>
      </x:c>
      <x:c r="C48" s="22" t="str">
        <x:v>sunday 2026 sep (1)_signed.pdf</x:v>
      </x:c>
      <x:c r="D48" s="22" t="n">
        <x:v>1</x:v>
      </x:c>
    </x:row>
    <x:row r="49">
      <x:c r="A49" s="22" t="n">
        <x:v>46</x:v>
      </x:c>
      <x:c r="B49" s="22" t="str">
        <x:v>Jay Gulani</x:v>
      </x:c>
      <x:c r="C49" s="22" t="str">
        <x:v>sunday 2026 sep (1)_signed.pdf</x:v>
      </x:c>
      <x:c r="D49" s="22" t="n">
        <x:v>1</x:v>
      </x:c>
    </x:row>
    <x:row r="50">
      <x:c r="A50" s="22" t="n">
        <x:v>47</x:v>
      </x:c>
      <x:c r="B50" s="22" t="str">
        <x:v>Seema Jeswani</x:v>
      </x:c>
      <x:c r="C50" s="22" t="str">
        <x:v>sunday 2026 sep (1)_signed.pdf</x:v>
      </x:c>
      <x:c r="D50" s="22" t="n">
        <x:v>1</x:v>
      </x:c>
    </x:row>
    <x:row r="51">
      <x:c r="A51" s="22" t="n">
        <x:v>48</x:v>
      </x:c>
      <x:c r="B51" s="22" t="str">
        <x:v>Raisingh Pancholi</x:v>
      </x:c>
      <x:c r="C51" s="22" t="str">
        <x:v>sunday 2026 sep (1)_signed.pdf</x:v>
      </x:c>
      <x:c r="D51" s="22" t="n">
        <x:v>1</x:v>
      </x:c>
    </x:row>
    <x:row r="52">
      <x:c r="A52" s="22" t="n">
        <x:v>49</x:v>
      </x:c>
      <x:c r="B52" s="22" t="str">
        <x:v>Nandkishor Jat</x:v>
      </x:c>
      <x:c r="C52" s="22" t="str">
        <x:v>sunday 2026 sep (1)_signed.pdf</x:v>
      </x:c>
      <x:c r="D52" s="22" t="n">
        <x:v>1</x:v>
      </x:c>
    </x:row>
    <x:row r="53">
      <x:c r="A53" s="22" t="n">
        <x:v>50</x:v>
      </x:c>
      <x:c r="B53" s="22" t="str">
        <x:v>Dilip Kirmani Hemant Shahri</x:v>
      </x:c>
      <x:c r="C53" s="22" t="str">
        <x:v>sunday 2026 sep (1)_signed.pdf</x:v>
      </x:c>
      <x:c r="D53" s="22" t="n">
        <x:v>1</x:v>
      </x:c>
    </x:row>
    <x:row r="54">
      <x:c r="A54" s="22" t="n">
        <x:v>51</x:v>
      </x:c>
      <x:c r="B54" s="22" t="str">
        <x:v>Minakshi Sahajwani</x:v>
      </x:c>
      <x:c r="C54" s="22" t="str">
        <x:v>sunday 2026 sep (1)_signed.pdf</x:v>
      </x:c>
      <x:c r="D54" s="22" t="n">
        <x:v>1</x:v>
      </x:c>
    </x:row>
    <x:row r="55">
      <x:c r="A55" s="22" t="n">
        <x:v>52</x:v>
      </x:c>
      <x:c r="B55" s="22" t="str">
        <x:v>Mayakhedi</x:v>
      </x:c>
      <x:c r="C55" s="22" t="str">
        <x:v>sunday 2026 sep (1)_signed.pdf</x:v>
      </x:c>
      <x:c r="D55" s="22" t="n">
        <x:v>1</x:v>
      </x:c>
    </x:row>
    <x:row r="56">
      <x:c r="A56" s="22" t="n">
        <x:v>53</x:v>
      </x:c>
      <x:c r="B56" s="22" t="str">
        <x:v>Hatod</x:v>
      </x:c>
      <x:c r="C56" s="22" t="str">
        <x:v>sunday 2026 sep (1)_signed.pdf</x:v>
      </x:c>
      <x:c r="D56" s="22" t="n">
        <x:v>1</x:v>
      </x:c>
    </x:row>
    <x:row r="57">
      <x:c r="A57" s="22" t="n">
        <x:v>54</x:v>
      </x:c>
      <x:c r="B57" s="22" t="str">
        <x:v>Ataheda</x:v>
      </x:c>
      <x:c r="C57" s="22" t="str">
        <x:v>sunday 2026 sep (1)_signed.pdf</x:v>
      </x:c>
      <x:c r="D57" s="22" t="n">
        <x:v>1</x:v>
      </x:c>
    </x:row>
    <x:row r="58">
      <x:c r="A58" s="22" t="n">
        <x:v>55</x:v>
      </x:c>
      <x:c r="B58" s="22" t="str">
        <x:v>Birgoda</x:v>
      </x:c>
      <x:c r="C58" s="22" t="str">
        <x:v>sunday 2026 sep (1)_signed.pdf</x:v>
      </x:c>
      <x:c r="D58" s="22" t="n">
        <x:v>1</x:v>
      </x:c>
    </x:row>
    <x:row r="59">
      <x:c r="A59" s="22" t="n">
        <x:v>56</x:v>
      </x:c>
      <x:c r="B59" s="22" t="str">
        <x:v>Chander</x:v>
      </x:c>
      <x:c r="C59" s="22" t="str">
        <x:v>sunday 2026 sep (1)_signed.pdf</x:v>
      </x:c>
      <x:c r="D59" s="22" t="n">
        <x:v>1</x:v>
      </x:c>
    </x:row>
    <x:row r="60">
      <x:c r="A60" s="22" t="n">
        <x:v>57</x:v>
      </x:c>
      <x:c r="B60" s="22" t="str">
        <x:v>CD NO. 413Kar Nainoo Deedar Mahal Mein; Sant Kabir Saheb</x:v>
      </x:c>
      <x:c r="C60" s="22" t="str">
        <x:v>sunday 2026 sep (1)_signed.pdf</x:v>
      </x:c>
      <x:c r="D60" s="22" t="n">
        <x:v>1</x:v>
      </x:c>
    </x:row>
    <x:row r="61">
      <x:c r="A61" s="22" t="n">
        <x:v>58</x:v>
      </x:c>
      <x:c r="B61" s="22" t="str">
        <x:v>CD NO. 413Kar Nainoo Deedar Mahal Mein; Sant Kabir Saheb</x:v>
      </x:c>
      <x:c r="C61" s="22" t="str">
        <x:v>sunday 2026 sep (1)_signed.pdf</x:v>
      </x:c>
      <x:c r="D61" s="22" t="n">
        <x:v>1</x:v>
      </x:c>
    </x:row>
    <x:row r="62">
      <x:c r="A62" s="22" t="n">
        <x:v>59</x:v>
      </x:c>
      <x:c r="B62" s="22" t="str">
        <x:v>CD NO. 413Kar Nainoo Deedar Mahal Mein; Sant Kabir Saheb</x:v>
      </x:c>
      <x:c r="C62" s="22" t="str">
        <x:v>sunday 2026 sep (1)_signed.pdf</x:v>
      </x:c>
      <x:c r="D62" s="22" t="n">
        <x:v>1</x:v>
      </x:c>
    </x:row>
    <x:row r="63">
      <x:c r="A63" s="22" t="n">
        <x:v>60</x:v>
      </x:c>
      <x:c r="B63" s="22" t="str">
        <x:v>CD NO. 413Kar Nainoo Deedar Mahal Mein; Sant Kabir Saheb</x:v>
      </x:c>
      <x:c r="C63" s="22" t="str">
        <x:v>sunday 2026 sep (1)_signed.pdf</x:v>
      </x:c>
      <x:c r="D63" s="22" t="n">
        <x:v>1</x:v>
      </x:c>
    </x:row>
    <x:row r="64">
      <x:c r="A64" s="22" t="n">
        <x:v>61</x:v>
      </x:c>
      <x:c r="B64" s="22" t="str">
        <x:v>CD NO. 413Kar Nainoo Deedar Mahal Mein; Sant Kabir Saheb</x:v>
      </x:c>
      <x:c r="C64" s="22" t="str">
        <x:v>sunday 2026 sep (1)_signed.pdf</x:v>
      </x:c>
      <x:c r="D64" s="22" t="n">
        <x:v>1</x:v>
      </x:c>
    </x:row>
    <x:row r="65">
      <x:c r="A65" s="22" t="n">
        <x:v>62</x:v>
      </x:c>
      <x:c r="B65" s="22" t="str">
        <x:v>CD NO. 413Kar Nainoo Deedar Mahal Mein; Sant Kabir Saheb</x:v>
      </x:c>
      <x:c r="C65" s="22" t="str">
        <x:v>sunday 2026 sep (1)_signed.pdf</x:v>
      </x:c>
      <x:c r="D65" s="22" t="n">
        <x:v>1</x:v>
      </x:c>
    </x:row>
    <x:row r="66">
      <x:c r="A66" s="22" t="n">
        <x:v>63</x:v>
      </x:c>
      <x:c r="B66" s="22" t="str">
        <x:v>CD NO. 413Kar Nainoo Deedar Mahal Mein; Sant Kabir Saheb</x:v>
      </x:c>
      <x:c r="C66" s="22" t="str">
        <x:v>sunday 2026 sep (1)_signed.pdf</x:v>
      </x:c>
      <x:c r="D66" s="22" t="n">
        <x:v>1</x:v>
      </x:c>
    </x:row>
    <x:row r="67">
      <x:c r="A67" s="22" t="n">
        <x:v>64</x:v>
      </x:c>
      <x:c r="B67" s="22" t="str">
        <x:v>CD NO. 413Kar Nainoo Deedar Mahal Mein; Sant Kabir Saheb</x:v>
      </x:c>
      <x:c r="C67" s="22" t="str">
        <x:v>sunday 2026 sep (1)_signed.pdf</x:v>
      </x:c>
      <x:c r="D67" s="22" t="n">
        <x:v>1</x:v>
      </x:c>
    </x:row>
    <x:row r="68">
      <x:c r="A68" s="22" t="n">
        <x:v>65</x:v>
      </x:c>
      <x:c r="B68" s="22" t="str">
        <x:v>CD NO. 413Kar Nainoo Deedar Mahal Mein; Sant Kabir Saheb</x:v>
      </x:c>
      <x:c r="C68" s="22" t="str">
        <x:v>sunday 2026 sep (1)_signed.pdf</x:v>
      </x:c>
      <x:c r="D68" s="22" t="n">
        <x:v>1</x:v>
      </x:c>
    </x:row>
    <x:row r="69">
      <x:c r="A69" s="22" t="n">
        <x:v>66</x:v>
      </x:c>
      <x:c r="B69" s="22" t="str">
        <x:v>CD NO. 413Kar Nainoo Deedar Mahal Mein; Sant Kabir Saheb</x:v>
      </x:c>
      <x:c r="C69" s="22" t="str">
        <x:v>sunday 2026 sep (1)_signed.pdf</x:v>
      </x:c>
      <x:c r="D69" s="22" t="n">
        <x:v>1</x:v>
      </x:c>
    </x:row>
    <x:row r="70">
      <x:c r="A70" s="22" t="n">
        <x:v>67</x:v>
      </x:c>
      <x:c r="B70" s="22" t="str">
        <x:v>CD NO. 413Kar Nainoo Deedar Mahal Mein; Sant Kabir Saheb</x:v>
      </x:c>
      <x:c r="C70" s="22" t="str">
        <x:v>sunday 2026 sep (1)_signed.pdf</x:v>
      </x:c>
      <x:c r="D70" s="22" t="n">
        <x:v>1</x:v>
      </x:c>
    </x:row>
    <x:row r="71">
      <x:c r="A71" s="22" t="n">
        <x:v>68</x:v>
      </x:c>
      <x:c r="B71" s="22" t="str">
        <x:v>CD NO. 413Kar Nainoo Deedar Mahal Mein; Sant Kabir Saheb</x:v>
      </x:c>
      <x:c r="C71" s="22" t="str">
        <x:v>sunday 2026 sep (1)_signed.pdf</x:v>
      </x:c>
      <x:c r="D71" s="22" t="n">
        <x:v>1</x:v>
      </x:c>
    </x:row>
    <x:row r="72">
      <x:c r="A72" s="22" t="n">
        <x:v>69</x:v>
      </x:c>
      <x:c r="B72" s="22" t="str">
        <x:v>CD NO. 413Kar Nainoo Deedar Mahal Mein; Sant Kabir Saheb</x:v>
      </x:c>
      <x:c r="C72" s="22" t="str">
        <x:v>sunday 2026 sep (1)_signed.pdf</x:v>
      </x:c>
      <x:c r="D72" s="22" t="n">
        <x:v>1</x:v>
      </x:c>
    </x:row>
    <x:row r="73">
      <x:c r="A73" s="22" t="n">
        <x:v>70</x:v>
      </x:c>
      <x:c r="B73" s="22" t="str">
        <x:v>CD NO. 413Kar Nainoo Deedar Mahal Mein; Sant Kabir Saheb</x:v>
      </x:c>
      <x:c r="C73" s="22" t="str">
        <x:v>sunday 2026 sep (1)_signed.pdf</x:v>
      </x:c>
      <x:c r="D73" s="22" t="n">
        <x:v>1</x:v>
      </x:c>
    </x:row>
    <x:row r="74">
      <x:c r="A74" s="22" t="n">
        <x:v>71</x:v>
      </x:c>
      <x:c r="B74" s="22" t="str">
        <x:v>Semda</x:v>
      </x:c>
      <x:c r="C74" s="22" t="str">
        <x:v>sunday 2026 sep (1)_signed.pdf</x:v>
      </x:c>
      <x:c r="D74" s="22" t="n">
        <x:v>1</x:v>
      </x:c>
    </x:row>
    <x:row r="75">
      <x:c r="A75" s="22" t="n">
        <x:v>72</x:v>
      </x:c>
      <x:c r="B75" s="22" t="str">
        <x:v>Kalaria</x:v>
      </x:c>
      <x:c r="C75" s="22" t="str">
        <x:v>sunday 2026 sep (1)_signed.pdf</x:v>
      </x:c>
      <x:c r="D75" s="22" t="n">
        <x:v>1</x:v>
      </x:c>
    </x:row>
    <x:row r="76">
      <x:c r="A76" s="22" t="n">
        <x:v>73</x:v>
      </x:c>
      <x:c r="B76" s="22" t="str">
        <x:v>Betma</x:v>
      </x:c>
      <x:c r="C76" s="22" t="str">
        <x:v>sunday 2026 sep (1)_signed.pdf</x:v>
      </x:c>
      <x:c r="D76" s="22" t="n">
        <x:v>1</x:v>
      </x:c>
    </x:row>
    <x:row r="77">
      <x:c r="A77" s="22" t="n">
        <x:v>74</x:v>
      </x:c>
      <x:c r="B77" s="22" t="str">
        <x:v>Semliyachau</x:v>
      </x:c>
      <x:c r="C77" s="22" t="str">
        <x:v>sunday 2026 sep (1)_signed.pdf</x:v>
      </x:c>
      <x:c r="D77" s="22" t="n">
        <x:v>1</x:v>
      </x:c>
    </x:row>
    <x:row r="78">
      <x:c r="A78" s="22" t="n">
        <x:v>75</x:v>
      </x:c>
      <x:c r="B78" s="22" t="str">
        <x:v>Tarana</x:v>
      </x:c>
      <x:c r="C78" s="22" t="str">
        <x:v>sunday 2026 sep (1)_signed.pdf</x:v>
      </x:c>
      <x:c r="D78" s="22" t="n">
        <x:v>1</x:v>
      </x:c>
    </x:row>
    <x:row r="79">
      <x:c r="A79" s="22" t="n">
        <x:v>76</x:v>
      </x:c>
      <x:c r="B79" s="22" t="str">
        <x:v>Badodia Khan</x:v>
      </x:c>
      <x:c r="C79" s="22" t="str">
        <x:v>sunday 2026 sep (1)_signed.pdf</x:v>
      </x:c>
      <x:c r="D79" s="22" t="n">
        <x:v>1</x:v>
      </x:c>
    </x:row>
    <x:row r="80">
      <x:c r="A80" s="22" t="n">
        <x:v>77</x:v>
      </x:c>
      <x:c r="B80" s="22" t="str">
        <x:v>Ajnod</x:v>
      </x:c>
      <x:c r="C80" s="22" t="str">
        <x:v>sunday 2026 sep (1)_signed.pdf</x:v>
      </x:c>
      <x:c r="D80" s="22" t="n">
        <x:v>1</x:v>
      </x:c>
    </x:row>
    <x:row r="81">
      <x:c r="A81" s="22" t="n">
        <x:v>78</x:v>
      </x:c>
      <x:c r="B81" s="22" t="str">
        <x:v>Takun</x:v>
      </x:c>
      <x:c r="C81" s="22" t="str">
        <x:v>sunday 2026 sep (1)_signed.pdf</x:v>
      </x:c>
      <x:c r="D81" s="22" t="n">
        <x:v>1</x:v>
      </x:c>
    </x:row>
    <x:row r="82">
      <x:c r="A82" s="22" t="n">
        <x:v>79</x:v>
      </x:c>
      <x:c r="B82" s="22" t="str">
        <x:v>Potlod</x:v>
      </x:c>
      <x:c r="C82" s="22" t="str">
        <x:v>sunday 2026 sep (1)_signed.pdf</x:v>
      </x:c>
      <x:c r="D82" s="22" t="n">
        <x:v>1</x:v>
      </x:c>
    </x:row>
    <x:row r="83">
      <x:c r="A83" s="22" t="n">
        <x:v>80</x:v>
      </x:c>
      <x:c r="B83" s="22" t="str">
        <x:v>Pivday</x:v>
      </x:c>
      <x:c r="C83" s="22" t="str">
        <x:v>sunday 2026 sep (1)_signed.pdf</x:v>
      </x:c>
      <x:c r="D83" s="22" t="n">
        <x:v>1</x:v>
      </x:c>
    </x:row>
    <x:row r="84">
      <x:c r="A84" s="22" t="n">
        <x:v>81</x:v>
      </x:c>
      <x:c r="B84" s="22" t="str">
        <x:v>Alpesh Amarwani</x:v>
      </x:c>
      <x:c r="C84" s="22" t="str">
        <x:v>sunday 2026 sep (1)_signed.pdf</x:v>
      </x:c>
      <x:c r="D84" s="22" t="n">
        <x:v>1</x:v>
      </x:c>
    </x:row>
    <x:row r="85">
      <x:c r="A85" s="22" t="n">
        <x:v>82</x:v>
      </x:c>
      <x:c r="B85" s="22" t="str">
        <x:v>Dr. H. S. Patel Secretary</x:v>
      </x:c>
      <x:c r="C85" s="22" t="str">
        <x:v>sunday 2026 sep (1)_signed.pdf</x:v>
      </x:c>
      <x:c r="D85" s="22" t="n">
        <x:v>1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d12861a8441464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8" hidden="0" customWidth="1"/>
    <x:col min="4" max="4" width="20" hidden="0" customWidth="1"/>
    <x:col min="5" max="5" width="20" hidden="0" customWidth="1"/>
    <x:col min="6" max="6" width="12" hidden="0" customWidth="1"/>
    <x:col min="7" max="7" width="38" hidden="0" customWidth="1"/>
    <x:col min="8" max="8" width="12" hidden="0" customWidth="1"/>
    <x:col min="9" max="9" width="32" hidden="0" customWidth="1"/>
    <x:col min="10" max="10" width="12" hidden="0" customWidth="1"/>
    <x:col min="11" max="11" width="16" hidden="0" customWidth="1"/>
  </x:cols>
  <x:sheetData>
    <x:row r="1" ht="28" customHeight="1">
      <x:c r="A1" s="5" t="str">
        <x:v>Structured Assignment Data — Prototype Test Set</x:v>
      </x:c>
      <x:c r="B1" s="5" t="str">
        <x:v>Structured Assignment Data — Prototype Test Set</x:v>
      </x:c>
      <x:c r="C1" s="5" t="str">
        <x:v>Structured Assignment Data — Prototype Test Set</x:v>
      </x:c>
      <x:c r="D1" s="5" t="str">
        <x:v>Structured Assignment Data — Prototype Test Set</x:v>
      </x:c>
      <x:c r="E1" s="5" t="str">
        <x:v>Structured Assignment Data — Prototype Test Set</x:v>
      </x:c>
      <x:c r="F1" s="5" t="str">
        <x:v>Structured Assignment Data — Prototype Test Set</x:v>
      </x:c>
      <x:c r="G1" s="5" t="str">
        <x:v>Structured Assignment Data — Prototype Test Set</x:v>
      </x:c>
      <x:c r="H1" s="5" t="str">
        <x:v>Structured Assignment Data — Prototype Test Set</x:v>
      </x:c>
      <x:c r="I1" s="5" t="str">
        <x:v>Structured Assignment Data — Prototype Test Set</x:v>
      </x:c>
      <x:c r="J1" s="5" t="str">
        <x:v>Structured Assignment Data — Prototype Test Set</x:v>
      </x:c>
      <x:c r="K1" s="5" t="str">
        <x:v>Structured Assignment Data — Prototype Test Set</x:v>
      </x:c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7"/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14" t="str">
        <x:v>Record ID</x:v>
      </x:c>
      <x:c r="B3" s="14" t="str">
        <x:v>Date</x:v>
      </x:c>
      <x:c r="C3" s="14" t="str">
        <x:v>Major Center</x:v>
      </x:c>
      <x:c r="D3" s="14" t="str">
        <x:v>Satsang Ghar</x:v>
      </x:c>
      <x:c r="E3" s="14" t="str">
        <x:v>Person</x:v>
      </x:c>
      <x:c r="F3" s="14" t="str">
        <x:v>Role</x:v>
      </x:c>
      <x:c r="G3" s="14" t="str">
        <x:v>Assignment Note</x:v>
      </x:c>
      <x:c r="H3" s="14" t="str">
        <x:v>Source Type</x:v>
      </x:c>
      <x:c r="I3" s="14" t="str">
        <x:v>Source File</x:v>
      </x:c>
      <x:c r="J3" s="14" t="str">
        <x:v>Source Page</x:v>
      </x:c>
      <x:c r="K3" s="14" t="str">
        <x:v>Data Origin</x:v>
      </x:c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9" t="str">
        <x:v>PDF-001</x:v>
      </x:c>
      <x:c r="B4" s="40" t="n">
        <x:v>46278</x:v>
      </x:c>
      <x:c r="C4" s="39" t="str">
        <x:v>Indore Area</x:v>
      </x:c>
      <x:c r="D4" s="39" t="str">
        <x:v>Sukhliya</x:v>
      </x:c>
      <x:c r="E4" s="39" t="str">
        <x:v>Amarjeet Arora</x:v>
      </x:c>
      <x:c r="F4" s="39" t="str">
        <x:v>SK/SR</x:v>
      </x:c>
      <x:c r="G4" s="39" t="str">
        <x:v>Shown with the Sukhliya row in the source preview; verify against original PDF layout.</x:v>
      </x:c>
      <x:c r="H4" s="39" t="str">
        <x:v>PDF</x:v>
      </x:c>
      <x:c r="I4" s="39" t="str">
        <x:v>sunday 2026 sep (1)_signed.pdf</x:v>
      </x:c>
      <x:c r="J4" s="39" t="n">
        <x:v>1</x:v>
      </x:c>
      <x:c r="K4" s="39" t="str">
        <x:v>PDF-Derived</x:v>
      </x:c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9" t="str">
        <x:v>PDF-002</x:v>
      </x:c>
      <x:c r="B5" s="40" t="n">
        <x:v>46271</x:v>
      </x:c>
      <x:c r="C5" s="39" t="str">
        <x:v>Indore Area</x:v>
      </x:c>
      <x:c r="D5" s="39" t="str">
        <x:v>Sukhliya</x:v>
      </x:c>
      <x:c r="E5" s="39" t="str">
        <x:v>Bhojraj Rajani</x:v>
      </x:c>
      <x:c r="F5" s="39" t="str">
        <x:v>SK/SR</x:v>
      </x:c>
      <x:c r="G5" s="39" t="str">
        <x:v>Name appears in the PDF extraction; exact column/date mapping should be verified in the original document.</x:v>
      </x:c>
      <x:c r="H5" s="39" t="str">
        <x:v>PDF</x:v>
      </x:c>
      <x:c r="I5" s="39" t="str">
        <x:v>sunday 2026 sep (1)_signed.pdf</x:v>
      </x:c>
      <x:c r="J5" s="39" t="n">
        <x:v>1</x:v>
      </x:c>
      <x:c r="K5" s="39" t="str">
        <x:v>PDF-Derived</x:v>
      </x:c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9" t="str">
        <x:v>PDF-003</x:v>
      </x:c>
      <x:c r="B6" s="40" t="n">
        <x:v>46278</x:v>
      </x:c>
      <x:c r="C6" s="39" t="str">
        <x:v>Indore Area</x:v>
      </x:c>
      <x:c r="D6" s="39" t="str">
        <x:v>Kila Road</x:v>
      </x:c>
      <x:c r="E6" s="39" t="str">
        <x:v>Kavita Rajani</x:v>
      </x:c>
      <x:c r="F6" s="39" t="str">
        <x:v>SK/SR</x:v>
      </x:c>
      <x:c r="G6" s="39" t="str">
        <x:v>Name appears in the PDF extraction; exact column/date mapping should be verified in the original document.</x:v>
      </x:c>
      <x:c r="H6" s="39" t="str">
        <x:v>PDF</x:v>
      </x:c>
      <x:c r="I6" s="39" t="str">
        <x:v>sunday 2026 sep (1)_signed.pdf</x:v>
      </x:c>
      <x:c r="J6" s="39" t="n">
        <x:v>1</x:v>
      </x:c>
      <x:c r="K6" s="39" t="str">
        <x:v>PDF-Derived</x:v>
      </x:c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9" t="str">
        <x:v>DEMO-101</x:v>
      </x:c>
      <x:c r="B7" s="40" t="n">
        <x:v>46271</x:v>
      </x:c>
      <x:c r="C7" s="39" t="str">
        <x:v>Indore Area</x:v>
      </x:c>
      <x:c r="D7" s="39" t="str">
        <x:v>Sukhliya</x:v>
      </x:c>
      <x:c r="E7" s="39" t="str">
        <x:v>Demo Person 01</x:v>
      </x:c>
      <x:c r="F7" s="39" t="str">
        <x:v>SK</x:v>
      </x:c>
      <x:c r="G7" s="39" t="str">
        <x:v>Regular local assignment</x:v>
      </x:c>
      <x:c r="H7" s="39" t="str">
        <x:v>Excel</x:v>
      </x:c>
      <x:c r="I7" s="39" t="str">
        <x:v>Demo_Assignments_Test.xlsx</x:v>
      </x:c>
      <x:c r="J7" s="39"/>
      <x:c r="K7" s="39" t="str">
        <x:v>Synthetic</x:v>
      </x:c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9" t="str">
        <x:v>DEMO-102</x:v>
      </x:c>
      <x:c r="B8" s="40" t="n">
        <x:v>46278</x:v>
      </x:c>
      <x:c r="C8" s="39" t="str">
        <x:v>Indore Area</x:v>
      </x:c>
      <x:c r="D8" s="39" t="str">
        <x:v>Sukhliya</x:v>
      </x:c>
      <x:c r="E8" s="39" t="str">
        <x:v>Demo Person 02</x:v>
      </x:c>
      <x:c r="F8" s="39" t="str">
        <x:v>SR</x:v>
      </x:c>
      <x:c r="G8" s="39" t="str">
        <x:v>Regular local assignment</x:v>
      </x:c>
      <x:c r="H8" s="39" t="str">
        <x:v>Excel</x:v>
      </x:c>
      <x:c r="I8" s="39" t="str">
        <x:v>Demo_Assignments_Test.xlsx</x:v>
      </x:c>
      <x:c r="J8" s="39"/>
      <x:c r="K8" s="39" t="str">
        <x:v>Synthetic</x:v>
      </x:c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9" t="str">
        <x:v>DEMO-103</x:v>
      </x:c>
      <x:c r="B9" s="40" t="n">
        <x:v>46285</x:v>
      </x:c>
      <x:c r="C9" s="39" t="str">
        <x:v>Indore Area</x:v>
      </x:c>
      <x:c r="D9" s="39" t="str">
        <x:v>Sukhliya</x:v>
      </x:c>
      <x:c r="E9" s="39" t="str">
        <x:v>Demo Person 03</x:v>
      </x:c>
      <x:c r="F9" s="39" t="str">
        <x:v>SK</x:v>
      </x:c>
      <x:c r="G9" s="39" t="str">
        <x:v>SK from Other area</x:v>
      </x:c>
      <x:c r="H9" s="39" t="str">
        <x:v>Excel</x:v>
      </x:c>
      <x:c r="I9" s="39" t="str">
        <x:v>Demo_Assignments_Test.xlsx</x:v>
      </x:c>
      <x:c r="J9" s="39"/>
      <x:c r="K9" s="39" t="str">
        <x:v>Synthetic</x:v>
      </x:c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9" t="str">
        <x:v>DEMO-104</x:v>
      </x:c>
      <x:c r="B10" s="40" t="n">
        <x:v>46292</x:v>
      </x:c>
      <x:c r="C10" s="39" t="str">
        <x:v>Indore Area</x:v>
      </x:c>
      <x:c r="D10" s="39" t="str">
        <x:v>Sukhliya</x:v>
      </x:c>
      <x:c r="E10" s="39" t="str">
        <x:v>Demo Person 04</x:v>
      </x:c>
      <x:c r="F10" s="39" t="str">
        <x:v>SR</x:v>
      </x:c>
      <x:c r="G10" s="39" t="str">
        <x:v>Satsang Karta from Dewas</x:v>
      </x:c>
      <x:c r="H10" s="39" t="str">
        <x:v>Excel</x:v>
      </x:c>
      <x:c r="I10" s="39" t="str">
        <x:v>Demo_Assignments_Test.xlsx</x:v>
      </x:c>
      <x:c r="J10" s="39"/>
      <x:c r="K10" s="39" t="str">
        <x:v>Synthetic</x:v>
      </x:c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9" t="str">
        <x:v>DEMO-105</x:v>
      </x:c>
      <x:c r="B11" s="40" t="n">
        <x:v>46271</x:v>
      </x:c>
      <x:c r="C11" s="39" t="str">
        <x:v>Indore Area</x:v>
      </x:c>
      <x:c r="D11" s="39" t="str">
        <x:v>Kila Road</x:v>
      </x:c>
      <x:c r="E11" s="39" t="str">
        <x:v>Demo Person 04</x:v>
      </x:c>
      <x:c r="F11" s="39" t="str">
        <x:v>SR</x:v>
      </x:c>
      <x:c r="G11" s="39" t="str">
        <x:v>Regular local assignment</x:v>
      </x:c>
      <x:c r="H11" s="39" t="str">
        <x:v>Excel</x:v>
      </x:c>
      <x:c r="I11" s="39" t="str">
        <x:v>Demo_Assignments_Test.xlsx</x:v>
      </x:c>
      <x:c r="J11" s="39"/>
      <x:c r="K11" s="39" t="str">
        <x:v>Synthetic</x:v>
      </x:c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9" t="str">
        <x:v>DEMO-106</x:v>
      </x:c>
      <x:c r="B12" s="40" t="n">
        <x:v>46278</x:v>
      </x:c>
      <x:c r="C12" s="39" t="str">
        <x:v>Indore Area</x:v>
      </x:c>
      <x:c r="D12" s="39" t="str">
        <x:v>Kila Road</x:v>
      </x:c>
      <x:c r="E12" s="39" t="str">
        <x:v>Demo Person 05</x:v>
      </x:c>
      <x:c r="F12" s="39" t="str">
        <x:v>SK</x:v>
      </x:c>
      <x:c r="G12" s="39" t="str">
        <x:v>SK from Other area</x:v>
      </x:c>
      <x:c r="H12" s="39" t="str">
        <x:v>Excel</x:v>
      </x:c>
      <x:c r="I12" s="39" t="str">
        <x:v>Demo_Assignments_Test.xlsx</x:v>
      </x:c>
      <x:c r="J12" s="39"/>
      <x:c r="K12" s="39" t="str">
        <x:v>Synthetic</x:v>
      </x:c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9" t="str">
        <x:v>DEMO-107</x:v>
      </x:c>
      <x:c r="B13" s="40" t="n">
        <x:v>46285</x:v>
      </x:c>
      <x:c r="C13" s="39" t="str">
        <x:v>Indore Area</x:v>
      </x:c>
      <x:c r="D13" s="39" t="str">
        <x:v>Kila Road</x:v>
      </x:c>
      <x:c r="E13" s="39" t="str">
        <x:v>Demo Person 06</x:v>
      </x:c>
      <x:c r="F13" s="39" t="str">
        <x:v>SR</x:v>
      </x:c>
      <x:c r="G13" s="39" t="str">
        <x:v>Satsang Karta from Dewas</x:v>
      </x:c>
      <x:c r="H13" s="39" t="str">
        <x:v>Excel</x:v>
      </x:c>
      <x:c r="I13" s="39" t="str">
        <x:v>Demo_Assignments_Test.xlsx</x:v>
      </x:c>
      <x:c r="J13" s="39"/>
      <x:c r="K13" s="39" t="str">
        <x:v>Synthetic</x:v>
      </x:c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9" t="str">
        <x:v>DEMO-108</x:v>
      </x:c>
      <x:c r="B14" s="40" t="n">
        <x:v>46292</x:v>
      </x:c>
      <x:c r="C14" s="39" t="str">
        <x:v>Indore Area</x:v>
      </x:c>
      <x:c r="D14" s="39" t="str">
        <x:v>Kila Road</x:v>
      </x:c>
      <x:c r="E14" s="39" t="str">
        <x:v>Demo Person 07</x:v>
      </x:c>
      <x:c r="F14" s="39" t="str">
        <x:v>SK</x:v>
      </x:c>
      <x:c r="G14" s="39" t="str">
        <x:v>Regular local assignment</x:v>
      </x:c>
      <x:c r="H14" s="39" t="str">
        <x:v>Excel</x:v>
      </x:c>
      <x:c r="I14" s="39" t="str">
        <x:v>Demo_Assignments_Test.xlsx</x:v>
      </x:c>
      <x:c r="J14" s="39"/>
      <x:c r="K14" s="39" t="str">
        <x:v>Synthetic</x:v>
      </x:c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9" t="str">
        <x:v>DEMO-109</x:v>
      </x:c>
      <x:c r="B15" s="40" t="n">
        <x:v>46271</x:v>
      </x:c>
      <x:c r="C15" s="39" t="str">
        <x:v>Indore Area</x:v>
      </x:c>
      <x:c r="D15" s="39" t="str">
        <x:v>Manglia</x:v>
      </x:c>
      <x:c r="E15" s="39" t="str">
        <x:v>Demo Person 07</x:v>
      </x:c>
      <x:c r="F15" s="39" t="str">
        <x:v>SK</x:v>
      </x:c>
      <x:c r="G15" s="39" t="str">
        <x:v>SK from Other area</x:v>
      </x:c>
      <x:c r="H15" s="39" t="str">
        <x:v>Excel</x:v>
      </x:c>
      <x:c r="I15" s="39" t="str">
        <x:v>Demo_Assignments_Test.xlsx</x:v>
      </x:c>
      <x:c r="J15" s="39"/>
      <x:c r="K15" s="39" t="str">
        <x:v>Synthetic</x:v>
      </x:c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9" t="str">
        <x:v>DEMO-110</x:v>
      </x:c>
      <x:c r="B16" s="40" t="n">
        <x:v>46278</x:v>
      </x:c>
      <x:c r="C16" s="39" t="str">
        <x:v>Indore Area</x:v>
      </x:c>
      <x:c r="D16" s="39" t="str">
        <x:v>Manglia</x:v>
      </x:c>
      <x:c r="E16" s="39" t="str">
        <x:v>Demo Person 08</x:v>
      </x:c>
      <x:c r="F16" s="39" t="str">
        <x:v>SR</x:v>
      </x:c>
      <x:c r="G16" s="39" t="str">
        <x:v>Satsang Karta from Dewas</x:v>
      </x:c>
      <x:c r="H16" s="39" t="str">
        <x:v>Excel</x:v>
      </x:c>
      <x:c r="I16" s="39" t="str">
        <x:v>Demo_Assignments_Test.xlsx</x:v>
      </x:c>
      <x:c r="J16" s="39"/>
      <x:c r="K16" s="39" t="str">
        <x:v>Synthetic</x:v>
      </x:c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9" t="str">
        <x:v>DEMO-111</x:v>
      </x:c>
      <x:c r="B17" s="40" t="n">
        <x:v>46285</x:v>
      </x:c>
      <x:c r="C17" s="39" t="str">
        <x:v>Indore Area</x:v>
      </x:c>
      <x:c r="D17" s="39" t="str">
        <x:v>Manglia</x:v>
      </x:c>
      <x:c r="E17" s="39" t="str">
        <x:v>Demo Person 09</x:v>
      </x:c>
      <x:c r="F17" s="39" t="str">
        <x:v>SK</x:v>
      </x:c>
      <x:c r="G17" s="39" t="str">
        <x:v>Regular local assignment</x:v>
      </x:c>
      <x:c r="H17" s="39" t="str">
        <x:v>Excel</x:v>
      </x:c>
      <x:c r="I17" s="39" t="str">
        <x:v>Demo_Assignments_Test.xlsx</x:v>
      </x:c>
      <x:c r="J17" s="39"/>
      <x:c r="K17" s="39" t="str">
        <x:v>Synthetic</x:v>
      </x:c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9" t="str">
        <x:v>DEMO-112</x:v>
      </x:c>
      <x:c r="B18" s="40" t="n">
        <x:v>46292</x:v>
      </x:c>
      <x:c r="C18" s="39" t="str">
        <x:v>Indore Area</x:v>
      </x:c>
      <x:c r="D18" s="39" t="str">
        <x:v>Manglia</x:v>
      </x:c>
      <x:c r="E18" s="39" t="str">
        <x:v>Demo Person 10</x:v>
      </x:c>
      <x:c r="F18" s="39" t="str">
        <x:v>SR</x:v>
      </x:c>
      <x:c r="G18" s="39" t="str">
        <x:v>Regular local assignment</x:v>
      </x:c>
      <x:c r="H18" s="39" t="str">
        <x:v>Excel</x:v>
      </x:c>
      <x:c r="I18" s="39" t="str">
        <x:v>Demo_Assignments_Test.xlsx</x:v>
      </x:c>
      <x:c r="J18" s="39"/>
      <x:c r="K18" s="39" t="str">
        <x:v>Synthetic</x:v>
      </x:c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9" t="str">
        <x:v>DEMO-113</x:v>
      </x:c>
      <x:c r="B19" s="40" t="n">
        <x:v>46271</x:v>
      </x:c>
      <x:c r="C19" s="39" t="str">
        <x:v>Indore Area</x:v>
      </x:c>
      <x:c r="D19" s="39" t="str">
        <x:v>Bicholi Hapsi</x:v>
      </x:c>
      <x:c r="E19" s="39" t="str">
        <x:v>Demo Person 10</x:v>
      </x:c>
      <x:c r="F19" s="39" t="str">
        <x:v>SR</x:v>
      </x:c>
      <x:c r="G19" s="39" t="str">
        <x:v>Satsang Karta from Dewas</x:v>
      </x:c>
      <x:c r="H19" s="39" t="str">
        <x:v>Excel</x:v>
      </x:c>
      <x:c r="I19" s="39" t="str">
        <x:v>Demo_Assignments_Test.xlsx</x:v>
      </x:c>
      <x:c r="J19" s="39"/>
      <x:c r="K19" s="39" t="str">
        <x:v>Synthetic</x:v>
      </x:c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9" t="str">
        <x:v>DEMO-114</x:v>
      </x:c>
      <x:c r="B20" s="40" t="n">
        <x:v>46278</x:v>
      </x:c>
      <x:c r="C20" s="39" t="str">
        <x:v>Indore Area</x:v>
      </x:c>
      <x:c r="D20" s="39" t="str">
        <x:v>Bicholi Hapsi</x:v>
      </x:c>
      <x:c r="E20" s="39" t="str">
        <x:v>Demo Person 11</x:v>
      </x:c>
      <x:c r="F20" s="39" t="str">
        <x:v>SK</x:v>
      </x:c>
      <x:c r="G20" s="39" t="str">
        <x:v>Regular local assignment</x:v>
      </x:c>
      <x:c r="H20" s="39" t="str">
        <x:v>Excel</x:v>
      </x:c>
      <x:c r="I20" s="39" t="str">
        <x:v>Demo_Assignments_Test.xlsx</x:v>
      </x:c>
      <x:c r="J20" s="39"/>
      <x:c r="K20" s="39" t="str">
        <x:v>Synthetic</x:v>
      </x:c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9" t="str">
        <x:v>DEMO-115</x:v>
      </x:c>
      <x:c r="B21" s="40" t="n">
        <x:v>46285</x:v>
      </x:c>
      <x:c r="C21" s="39" t="str">
        <x:v>Indore Area</x:v>
      </x:c>
      <x:c r="D21" s="39" t="str">
        <x:v>Bicholi Hapsi</x:v>
      </x:c>
      <x:c r="E21" s="39" t="str">
        <x:v>Demo Person 12</x:v>
      </x:c>
      <x:c r="F21" s="39" t="str">
        <x:v>SR</x:v>
      </x:c>
      <x:c r="G21" s="39" t="str">
        <x:v>Regular local assignment</x:v>
      </x:c>
      <x:c r="H21" s="39" t="str">
        <x:v>Excel</x:v>
      </x:c>
      <x:c r="I21" s="39" t="str">
        <x:v>Demo_Assignments_Test.xlsx</x:v>
      </x:c>
      <x:c r="J21" s="39"/>
      <x:c r="K21" s="39" t="str">
        <x:v>Synthetic</x:v>
      </x:c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9" t="str">
        <x:v>DEMO-116</x:v>
      </x:c>
      <x:c r="B22" s="40" t="n">
        <x:v>46292</x:v>
      </x:c>
      <x:c r="C22" s="39" t="str">
        <x:v>Indore Area</x:v>
      </x:c>
      <x:c r="D22" s="39" t="str">
        <x:v>Bicholi Hapsi</x:v>
      </x:c>
      <x:c r="E22" s="39" t="str">
        <x:v>Demo Person 01</x:v>
      </x:c>
      <x:c r="F22" s="39" t="str">
        <x:v>SK</x:v>
      </x:c>
      <x:c r="G22" s="39" t="str">
        <x:v>SK from Other area</x:v>
      </x:c>
      <x:c r="H22" s="39" t="str">
        <x:v>Excel</x:v>
      </x:c>
      <x:c r="I22" s="39" t="str">
        <x:v>Demo_Assignments_Test.xlsx</x:v>
      </x:c>
      <x:c r="J22" s="39"/>
      <x:c r="K22" s="39" t="str">
        <x:v>Synthetic</x:v>
      </x:c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9" t="str">
        <x:v>DEMO-117</x:v>
      </x:c>
      <x:c r="B23" s="40" t="n">
        <x:v>46271</x:v>
      </x:c>
      <x:c r="C23" s="39" t="str">
        <x:v>Indore Area</x:v>
      </x:c>
      <x:c r="D23" s="39" t="str">
        <x:v>Mayakhedi</x:v>
      </x:c>
      <x:c r="E23" s="39" t="str">
        <x:v>Demo Person 01</x:v>
      </x:c>
      <x:c r="F23" s="39" t="str">
        <x:v>SK</x:v>
      </x:c>
      <x:c r="G23" s="39" t="str">
        <x:v>Regular local assignment</x:v>
      </x:c>
      <x:c r="H23" s="39" t="str">
        <x:v>Excel</x:v>
      </x:c>
      <x:c r="I23" s="39" t="str">
        <x:v>Demo_Assignments_Test.xlsx</x:v>
      </x:c>
      <x:c r="J23" s="39"/>
      <x:c r="K23" s="39" t="str">
        <x:v>Synthetic</x:v>
      </x:c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9" t="str">
        <x:v>DEMO-118</x:v>
      </x:c>
      <x:c r="B24" s="40" t="n">
        <x:v>46278</x:v>
      </x:c>
      <x:c r="C24" s="39" t="str">
        <x:v>Indore Area</x:v>
      </x:c>
      <x:c r="D24" s="39" t="str">
        <x:v>Mayakhedi</x:v>
      </x:c>
      <x:c r="E24" s="39" t="str">
        <x:v>Demo Person 02</x:v>
      </x:c>
      <x:c r="F24" s="39" t="str">
        <x:v>SR</x:v>
      </x:c>
      <x:c r="G24" s="39" t="str">
        <x:v>Regular local assignment</x:v>
      </x:c>
      <x:c r="H24" s="39" t="str">
        <x:v>Excel</x:v>
      </x:c>
      <x:c r="I24" s="39" t="str">
        <x:v>Demo_Assignments_Test.xlsx</x:v>
      </x:c>
      <x:c r="J24" s="39"/>
      <x:c r="K24" s="39" t="str">
        <x:v>Synthetic</x:v>
      </x:c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9" t="str">
        <x:v>DEMO-119</x:v>
      </x:c>
      <x:c r="B25" s="40" t="n">
        <x:v>46285</x:v>
      </x:c>
      <x:c r="C25" s="39" t="str">
        <x:v>Indore Area</x:v>
      </x:c>
      <x:c r="D25" s="39" t="str">
        <x:v>Mayakhedi</x:v>
      </x:c>
      <x:c r="E25" s="39" t="str">
        <x:v>Demo Person 03</x:v>
      </x:c>
      <x:c r="F25" s="39" t="str">
        <x:v>SK</x:v>
      </x:c>
      <x:c r="G25" s="39" t="str">
        <x:v>SK from Other area</x:v>
      </x:c>
      <x:c r="H25" s="39" t="str">
        <x:v>Excel</x:v>
      </x:c>
      <x:c r="I25" s="39" t="str">
        <x:v>Demo_Assignments_Test.xlsx</x:v>
      </x:c>
      <x:c r="J25" s="39"/>
      <x:c r="K25" s="39" t="str">
        <x:v>Synthetic</x:v>
      </x:c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9" t="str">
        <x:v>DEMO-120</x:v>
      </x:c>
      <x:c r="B26" s="40" t="n">
        <x:v>46292</x:v>
      </x:c>
      <x:c r="C26" s="39" t="str">
        <x:v>Indore Area</x:v>
      </x:c>
      <x:c r="D26" s="39" t="str">
        <x:v>Mayakhedi</x:v>
      </x:c>
      <x:c r="E26" s="39" t="str">
        <x:v>Demo Person 04</x:v>
      </x:c>
      <x:c r="F26" s="39" t="str">
        <x:v>SR</x:v>
      </x:c>
      <x:c r="G26" s="39" t="str">
        <x:v>Satsang Karta from Dewas</x:v>
      </x:c>
      <x:c r="H26" s="39" t="str">
        <x:v>Excel</x:v>
      </x:c>
      <x:c r="I26" s="39" t="str">
        <x:v>Demo_Assignments_Test.xlsx</x:v>
      </x:c>
      <x:c r="J26" s="39"/>
      <x:c r="K26" s="39" t="str">
        <x:v>Synthetic</x:v>
      </x:c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9" t="str">
        <x:v>DEMO-121</x:v>
      </x:c>
      <x:c r="B27" s="40" t="n">
        <x:v>46271</x:v>
      </x:c>
      <x:c r="C27" s="39" t="str">
        <x:v>Indore Area</x:v>
      </x:c>
      <x:c r="D27" s="39" t="str">
        <x:v>Hatod</x:v>
      </x:c>
      <x:c r="E27" s="39" t="str">
        <x:v>Demo Person 04</x:v>
      </x:c>
      <x:c r="F27" s="39" t="str">
        <x:v>SR</x:v>
      </x:c>
      <x:c r="G27" s="39" t="str">
        <x:v>Regular local assignment</x:v>
      </x:c>
      <x:c r="H27" s="39" t="str">
        <x:v>Excel</x:v>
      </x:c>
      <x:c r="I27" s="39" t="str">
        <x:v>Demo_Assignments_Test.xlsx</x:v>
      </x:c>
      <x:c r="J27" s="39"/>
      <x:c r="K27" s="39" t="str">
        <x:v>Synthetic</x:v>
      </x:c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9" t="str">
        <x:v>DEMO-122</x:v>
      </x:c>
      <x:c r="B28" s="40" t="n">
        <x:v>46278</x:v>
      </x:c>
      <x:c r="C28" s="39" t="str">
        <x:v>Indore Area</x:v>
      </x:c>
      <x:c r="D28" s="39" t="str">
        <x:v>Hatod</x:v>
      </x:c>
      <x:c r="E28" s="39" t="str">
        <x:v>Demo Person 05</x:v>
      </x:c>
      <x:c r="F28" s="39" t="str">
        <x:v>SK</x:v>
      </x:c>
      <x:c r="G28" s="39" t="str">
        <x:v>SK from Other area</x:v>
      </x:c>
      <x:c r="H28" s="39" t="str">
        <x:v>Excel</x:v>
      </x:c>
      <x:c r="I28" s="39" t="str">
        <x:v>Demo_Assignments_Test.xlsx</x:v>
      </x:c>
      <x:c r="J28" s="39"/>
      <x:c r="K28" s="39" t="str">
        <x:v>Synthetic</x:v>
      </x:c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9" t="str">
        <x:v>DEMO-123</x:v>
      </x:c>
      <x:c r="B29" s="40" t="n">
        <x:v>46285</x:v>
      </x:c>
      <x:c r="C29" s="39" t="str">
        <x:v>Indore Area</x:v>
      </x:c>
      <x:c r="D29" s="39" t="str">
        <x:v>Hatod</x:v>
      </x:c>
      <x:c r="E29" s="39" t="str">
        <x:v>Demo Person 06</x:v>
      </x:c>
      <x:c r="F29" s="39" t="str">
        <x:v>SR</x:v>
      </x:c>
      <x:c r="G29" s="39" t="str">
        <x:v>Satsang Karta from Dewas</x:v>
      </x:c>
      <x:c r="H29" s="39" t="str">
        <x:v>Excel</x:v>
      </x:c>
      <x:c r="I29" s="39" t="str">
        <x:v>Demo_Assignments_Test.xlsx</x:v>
      </x:c>
      <x:c r="J29" s="39"/>
      <x:c r="K29" s="39" t="str">
        <x:v>Synthetic</x:v>
      </x:c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9" t="str">
        <x:v>DEMO-124</x:v>
      </x:c>
      <x:c r="B30" s="40" t="n">
        <x:v>46292</x:v>
      </x:c>
      <x:c r="C30" s="39" t="str">
        <x:v>Indore Area</x:v>
      </x:c>
      <x:c r="D30" s="39" t="str">
        <x:v>Hatod</x:v>
      </x:c>
      <x:c r="E30" s="39" t="str">
        <x:v>Demo Person 07</x:v>
      </x:c>
      <x:c r="F30" s="39" t="str">
        <x:v>SK</x:v>
      </x:c>
      <x:c r="G30" s="39" t="str">
        <x:v>Regular local assignment</x:v>
      </x:c>
      <x:c r="H30" s="39" t="str">
        <x:v>Excel</x:v>
      </x:c>
      <x:c r="I30" s="39" t="str">
        <x:v>Demo_Assignments_Test.xlsx</x:v>
      </x:c>
      <x:c r="J30" s="39"/>
      <x:c r="K30" s="39" t="str">
        <x:v>Synthetic</x:v>
      </x:c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9" t="str">
        <x:v>DEMO-125</x:v>
      </x:c>
      <x:c r="B31" s="40" t="n">
        <x:v>46271</x:v>
      </x:c>
      <x:c r="C31" s="39" t="str">
        <x:v>Indore Area</x:v>
      </x:c>
      <x:c r="D31" s="39" t="str">
        <x:v>Ataheda</x:v>
      </x:c>
      <x:c r="E31" s="39" t="str">
        <x:v>Demo Person 07</x:v>
      </x:c>
      <x:c r="F31" s="39" t="str">
        <x:v>SK</x:v>
      </x:c>
      <x:c r="G31" s="39" t="str">
        <x:v>SK from Other area</x:v>
      </x:c>
      <x:c r="H31" s="39" t="str">
        <x:v>Excel</x:v>
      </x:c>
      <x:c r="I31" s="39" t="str">
        <x:v>Demo_Assignments_Test.xlsx</x:v>
      </x:c>
      <x:c r="J31" s="39"/>
      <x:c r="K31" s="39" t="str">
        <x:v>Synthetic</x:v>
      </x:c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9" t="str">
        <x:v>DEMO-126</x:v>
      </x:c>
      <x:c r="B32" s="40" t="n">
        <x:v>46278</x:v>
      </x:c>
      <x:c r="C32" s="39" t="str">
        <x:v>Indore Area</x:v>
      </x:c>
      <x:c r="D32" s="39" t="str">
        <x:v>Ataheda</x:v>
      </x:c>
      <x:c r="E32" s="39" t="str">
        <x:v>Demo Person 08</x:v>
      </x:c>
      <x:c r="F32" s="39" t="str">
        <x:v>SR</x:v>
      </x:c>
      <x:c r="G32" s="39" t="str">
        <x:v>Satsang Karta from Dewas</x:v>
      </x:c>
      <x:c r="H32" s="39" t="str">
        <x:v>Excel</x:v>
      </x:c>
      <x:c r="I32" s="39" t="str">
        <x:v>Demo_Assignments_Test.xlsx</x:v>
      </x:c>
      <x:c r="J32" s="39"/>
      <x:c r="K32" s="39" t="str">
        <x:v>Synthetic</x:v>
      </x:c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9" t="str">
        <x:v>DEMO-127</x:v>
      </x:c>
      <x:c r="B33" s="40" t="n">
        <x:v>46285</x:v>
      </x:c>
      <x:c r="C33" s="39" t="str">
        <x:v>Indore Area</x:v>
      </x:c>
      <x:c r="D33" s="39" t="str">
        <x:v>Ataheda</x:v>
      </x:c>
      <x:c r="E33" s="39" t="str">
        <x:v>Demo Person 09</x:v>
      </x:c>
      <x:c r="F33" s="39" t="str">
        <x:v>SK</x:v>
      </x:c>
      <x:c r="G33" s="39" t="str">
        <x:v>Regular local assignment</x:v>
      </x:c>
      <x:c r="H33" s="39" t="str">
        <x:v>Excel</x:v>
      </x:c>
      <x:c r="I33" s="39" t="str">
        <x:v>Demo_Assignments_Test.xlsx</x:v>
      </x:c>
      <x:c r="J33" s="39"/>
      <x:c r="K33" s="39" t="str">
        <x:v>Synthetic</x:v>
      </x:c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9" t="str">
        <x:v>DEMO-128</x:v>
      </x:c>
      <x:c r="B34" s="40" t="n">
        <x:v>46292</x:v>
      </x:c>
      <x:c r="C34" s="39" t="str">
        <x:v>Indore Area</x:v>
      </x:c>
      <x:c r="D34" s="39" t="str">
        <x:v>Ataheda</x:v>
      </x:c>
      <x:c r="E34" s="39" t="str">
        <x:v>Demo Person 10</x:v>
      </x:c>
      <x:c r="F34" s="39" t="str">
        <x:v>SR</x:v>
      </x:c>
      <x:c r="G34" s="39" t="str">
        <x:v>Regular local assignment</x:v>
      </x:c>
      <x:c r="H34" s="39" t="str">
        <x:v>Excel</x:v>
      </x:c>
      <x:c r="I34" s="39" t="str">
        <x:v>Demo_Assignments_Test.xlsx</x:v>
      </x:c>
      <x:c r="J34" s="39"/>
      <x:c r="K34" s="39" t="str">
        <x:v>Synthetic</x:v>
      </x:c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9" t="str">
        <x:v>DEMO-129</x:v>
      </x:c>
      <x:c r="B35" s="40" t="n">
        <x:v>46271</x:v>
      </x:c>
      <x:c r="C35" s="39" t="str">
        <x:v>Indore Area</x:v>
      </x:c>
      <x:c r="D35" s="39" t="str">
        <x:v>Birgoda</x:v>
      </x:c>
      <x:c r="E35" s="39" t="str">
        <x:v>Demo Person 10</x:v>
      </x:c>
      <x:c r="F35" s="39" t="str">
        <x:v>SR</x:v>
      </x:c>
      <x:c r="G35" s="39" t="str">
        <x:v>Satsang Karta from Dewas</x:v>
      </x:c>
      <x:c r="H35" s="39" t="str">
        <x:v>Excel</x:v>
      </x:c>
      <x:c r="I35" s="39" t="str">
        <x:v>Demo_Assignments_Test.xlsx</x:v>
      </x:c>
      <x:c r="J35" s="39"/>
      <x:c r="K35" s="39" t="str">
        <x:v>Synthetic</x:v>
      </x:c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9" t="str">
        <x:v>DEMO-130</x:v>
      </x:c>
      <x:c r="B36" s="40" t="n">
        <x:v>46278</x:v>
      </x:c>
      <x:c r="C36" s="39" t="str">
        <x:v>Indore Area</x:v>
      </x:c>
      <x:c r="D36" s="39" t="str">
        <x:v>Birgoda</x:v>
      </x:c>
      <x:c r="E36" s="39" t="str">
        <x:v>Demo Person 11</x:v>
      </x:c>
      <x:c r="F36" s="39" t="str">
        <x:v>SK</x:v>
      </x:c>
      <x:c r="G36" s="39" t="str">
        <x:v>Regular local assignment</x:v>
      </x:c>
      <x:c r="H36" s="39" t="str">
        <x:v>Excel</x:v>
      </x:c>
      <x:c r="I36" s="39" t="str">
        <x:v>Demo_Assignments_Test.xlsx</x:v>
      </x:c>
      <x:c r="J36" s="39"/>
      <x:c r="K36" s="39" t="str">
        <x:v>Synthetic</x:v>
      </x:c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9" t="str">
        <x:v>DEMO-131</x:v>
      </x:c>
      <x:c r="B37" s="40" t="n">
        <x:v>46285</x:v>
      </x:c>
      <x:c r="C37" s="39" t="str">
        <x:v>Indore Area</x:v>
      </x:c>
      <x:c r="D37" s="39" t="str">
        <x:v>Birgoda</x:v>
      </x:c>
      <x:c r="E37" s="39" t="str">
        <x:v>Demo Person 12</x:v>
      </x:c>
      <x:c r="F37" s="39" t="str">
        <x:v>SR</x:v>
      </x:c>
      <x:c r="G37" s="39" t="str">
        <x:v>Regular local assignment</x:v>
      </x:c>
      <x:c r="H37" s="39" t="str">
        <x:v>Excel</x:v>
      </x:c>
      <x:c r="I37" s="39" t="str">
        <x:v>Demo_Assignments_Test.xlsx</x:v>
      </x:c>
      <x:c r="J37" s="39"/>
      <x:c r="K37" s="39" t="str">
        <x:v>Synthetic</x:v>
      </x:c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9" t="str">
        <x:v>DEMO-132</x:v>
      </x:c>
      <x:c r="B38" s="40" t="n">
        <x:v>46292</x:v>
      </x:c>
      <x:c r="C38" s="39" t="str">
        <x:v>Indore Area</x:v>
      </x:c>
      <x:c r="D38" s="39" t="str">
        <x:v>Birgoda</x:v>
      </x:c>
      <x:c r="E38" s="39" t="str">
        <x:v>Demo Person 01</x:v>
      </x:c>
      <x:c r="F38" s="39" t="str">
        <x:v>SK</x:v>
      </x:c>
      <x:c r="G38" s="39" t="str">
        <x:v>SK from Other area</x:v>
      </x:c>
      <x:c r="H38" s="39" t="str">
        <x:v>Excel</x:v>
      </x:c>
      <x:c r="I38" s="39" t="str">
        <x:v>Demo_Assignments_Test.xlsx</x:v>
      </x:c>
      <x:c r="J38" s="39"/>
      <x:c r="K38" s="39" t="str">
        <x:v>Synthetic</x:v>
      </x:c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9" t="str">
        <x:v>DEMO-133</x:v>
      </x:c>
      <x:c r="B39" s="40" t="n">
        <x:v>46271</x:v>
      </x:c>
      <x:c r="C39" s="39" t="str">
        <x:v>Indore Area</x:v>
      </x:c>
      <x:c r="D39" s="39" t="str">
        <x:v>Chander</x:v>
      </x:c>
      <x:c r="E39" s="39" t="str">
        <x:v>Demo Person 01</x:v>
      </x:c>
      <x:c r="F39" s="39" t="str">
        <x:v>SK</x:v>
      </x:c>
      <x:c r="G39" s="39" t="str">
        <x:v>Regular local assignment</x:v>
      </x:c>
      <x:c r="H39" s="39" t="str">
        <x:v>Excel</x:v>
      </x:c>
      <x:c r="I39" s="39" t="str">
        <x:v>Demo_Assignments_Test.xlsx</x:v>
      </x:c>
      <x:c r="J39" s="39"/>
      <x:c r="K39" s="39" t="str">
        <x:v>Synthetic</x:v>
      </x:c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9" t="str">
        <x:v>DEMO-134</x:v>
      </x:c>
      <x:c r="B40" s="40" t="n">
        <x:v>46278</x:v>
      </x:c>
      <x:c r="C40" s="39" t="str">
        <x:v>Indore Area</x:v>
      </x:c>
      <x:c r="D40" s="39" t="str">
        <x:v>Chander</x:v>
      </x:c>
      <x:c r="E40" s="39" t="str">
        <x:v>Demo Person 02</x:v>
      </x:c>
      <x:c r="F40" s="39" t="str">
        <x:v>SR</x:v>
      </x:c>
      <x:c r="G40" s="39" t="str">
        <x:v>Regular local assignment</x:v>
      </x:c>
      <x:c r="H40" s="39" t="str">
        <x:v>Excel</x:v>
      </x:c>
      <x:c r="I40" s="39" t="str">
        <x:v>Demo_Assignments_Test.xlsx</x:v>
      </x:c>
      <x:c r="J40" s="39"/>
      <x:c r="K40" s="39" t="str">
        <x:v>Synthetic</x:v>
      </x:c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9" t="str">
        <x:v>DEMO-135</x:v>
      </x:c>
      <x:c r="B41" s="40" t="n">
        <x:v>46285</x:v>
      </x:c>
      <x:c r="C41" s="39" t="str">
        <x:v>Indore Area</x:v>
      </x:c>
      <x:c r="D41" s="39" t="str">
        <x:v>Chander</x:v>
      </x:c>
      <x:c r="E41" s="39" t="str">
        <x:v>Demo Person 03</x:v>
      </x:c>
      <x:c r="F41" s="39" t="str">
        <x:v>SK</x:v>
      </x:c>
      <x:c r="G41" s="39" t="str">
        <x:v>SK from Other area</x:v>
      </x:c>
      <x:c r="H41" s="39" t="str">
        <x:v>Excel</x:v>
      </x:c>
      <x:c r="I41" s="39" t="str">
        <x:v>Demo_Assignments_Test.xlsx</x:v>
      </x:c>
      <x:c r="J41" s="39"/>
      <x:c r="K41" s="39" t="str">
        <x:v>Synthetic</x:v>
      </x:c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9" t="str">
        <x:v>DEMO-136</x:v>
      </x:c>
      <x:c r="B42" s="40" t="n">
        <x:v>46292</x:v>
      </x:c>
      <x:c r="C42" s="39" t="str">
        <x:v>Indore Area</x:v>
      </x:c>
      <x:c r="D42" s="39" t="str">
        <x:v>Chander</x:v>
      </x:c>
      <x:c r="E42" s="39" t="str">
        <x:v>Demo Person 04</x:v>
      </x:c>
      <x:c r="F42" s="39" t="str">
        <x:v>SR</x:v>
      </x:c>
      <x:c r="G42" s="39" t="str">
        <x:v>Satsang Karta from Dewas</x:v>
      </x:c>
      <x:c r="H42" s="39" t="str">
        <x:v>Excel</x:v>
      </x:c>
      <x:c r="I42" s="39" t="str">
        <x:v>Demo_Assignments_Test.xlsx</x:v>
      </x:c>
      <x:c r="J42" s="39"/>
      <x:c r="K42" s="39" t="str">
        <x:v>Synthetic</x:v>
      </x:c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9" t="str">
        <x:v>DEMO-137</x:v>
      </x:c>
      <x:c r="B43" s="40" t="n">
        <x:v>46271</x:v>
      </x:c>
      <x:c r="C43" s="39" t="str">
        <x:v>Indore Area</x:v>
      </x:c>
      <x:c r="D43" s="39" t="str">
        <x:v>Semda</x:v>
      </x:c>
      <x:c r="E43" s="39" t="str">
        <x:v>Demo Person 04</x:v>
      </x:c>
      <x:c r="F43" s="39" t="str">
        <x:v>SR</x:v>
      </x:c>
      <x:c r="G43" s="39" t="str">
        <x:v>Regular local assignment</x:v>
      </x:c>
      <x:c r="H43" s="39" t="str">
        <x:v>Excel</x:v>
      </x:c>
      <x:c r="I43" s="39" t="str">
        <x:v>Demo_Assignments_Test.xlsx</x:v>
      </x:c>
      <x:c r="J43" s="39"/>
      <x:c r="K43" s="39" t="str">
        <x:v>Synthetic</x:v>
      </x:c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9" t="str">
        <x:v>DEMO-138</x:v>
      </x:c>
      <x:c r="B44" s="40" t="n">
        <x:v>46278</x:v>
      </x:c>
      <x:c r="C44" s="39" t="str">
        <x:v>Indore Area</x:v>
      </x:c>
      <x:c r="D44" s="39" t="str">
        <x:v>Semda</x:v>
      </x:c>
      <x:c r="E44" s="39" t="str">
        <x:v>Demo Person 05</x:v>
      </x:c>
      <x:c r="F44" s="39" t="str">
        <x:v>SK</x:v>
      </x:c>
      <x:c r="G44" s="39" t="str">
        <x:v>SK from Other area</x:v>
      </x:c>
      <x:c r="H44" s="39" t="str">
        <x:v>Excel</x:v>
      </x:c>
      <x:c r="I44" s="39" t="str">
        <x:v>Demo_Assignments_Test.xlsx</x:v>
      </x:c>
      <x:c r="J44" s="39"/>
      <x:c r="K44" s="39" t="str">
        <x:v>Synthetic</x:v>
      </x:c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9" t="str">
        <x:v>DEMO-139</x:v>
      </x:c>
      <x:c r="B45" s="40" t="n">
        <x:v>46285</x:v>
      </x:c>
      <x:c r="C45" s="39" t="str">
        <x:v>Indore Area</x:v>
      </x:c>
      <x:c r="D45" s="39" t="str">
        <x:v>Semda</x:v>
      </x:c>
      <x:c r="E45" s="39" t="str">
        <x:v>Demo Person 06</x:v>
      </x:c>
      <x:c r="F45" s="39" t="str">
        <x:v>SR</x:v>
      </x:c>
      <x:c r="G45" s="39" t="str">
        <x:v>Satsang Karta from Dewas</x:v>
      </x:c>
      <x:c r="H45" s="39" t="str">
        <x:v>Excel</x:v>
      </x:c>
      <x:c r="I45" s="39" t="str">
        <x:v>Demo_Assignments_Test.xlsx</x:v>
      </x:c>
      <x:c r="J45" s="39"/>
      <x:c r="K45" s="39" t="str">
        <x:v>Synthetic</x:v>
      </x:c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9" t="str">
        <x:v>DEMO-140</x:v>
      </x:c>
      <x:c r="B46" s="40" t="n">
        <x:v>46292</x:v>
      </x:c>
      <x:c r="C46" s="39" t="str">
        <x:v>Indore Area</x:v>
      </x:c>
      <x:c r="D46" s="39" t="str">
        <x:v>Semda</x:v>
      </x:c>
      <x:c r="E46" s="39" t="str">
        <x:v>Demo Person 07</x:v>
      </x:c>
      <x:c r="F46" s="39" t="str">
        <x:v>SK</x:v>
      </x:c>
      <x:c r="G46" s="39" t="str">
        <x:v>Regular local assignment</x:v>
      </x:c>
      <x:c r="H46" s="39" t="str">
        <x:v>Excel</x:v>
      </x:c>
      <x:c r="I46" s="39" t="str">
        <x:v>Demo_Assignments_Test.xlsx</x:v>
      </x:c>
      <x:c r="J46" s="39"/>
      <x:c r="K46" s="39" t="str">
        <x:v>Synthetic</x:v>
      </x:c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9" t="str">
        <x:v>DEMO-141</x:v>
      </x:c>
      <x:c r="B47" s="40" t="n">
        <x:v>46271</x:v>
      </x:c>
      <x:c r="C47" s="39" t="str">
        <x:v>Indore Area</x:v>
      </x:c>
      <x:c r="D47" s="39" t="str">
        <x:v>Kalaria</x:v>
      </x:c>
      <x:c r="E47" s="39" t="str">
        <x:v>Demo Person 07</x:v>
      </x:c>
      <x:c r="F47" s="39" t="str">
        <x:v>SK</x:v>
      </x:c>
      <x:c r="G47" s="39" t="str">
        <x:v>SK from Other area</x:v>
      </x:c>
      <x:c r="H47" s="39" t="str">
        <x:v>Excel</x:v>
      </x:c>
      <x:c r="I47" s="39" t="str">
        <x:v>Demo_Assignments_Test.xlsx</x:v>
      </x:c>
      <x:c r="J47" s="39"/>
      <x:c r="K47" s="39" t="str">
        <x:v>Synthetic</x:v>
      </x:c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9" t="str">
        <x:v>DEMO-142</x:v>
      </x:c>
      <x:c r="B48" s="40" t="n">
        <x:v>46278</x:v>
      </x:c>
      <x:c r="C48" s="39" t="str">
        <x:v>Indore Area</x:v>
      </x:c>
      <x:c r="D48" s="39" t="str">
        <x:v>Kalaria</x:v>
      </x:c>
      <x:c r="E48" s="39" t="str">
        <x:v>Demo Person 08</x:v>
      </x:c>
      <x:c r="F48" s="39" t="str">
        <x:v>SR</x:v>
      </x:c>
      <x:c r="G48" s="39" t="str">
        <x:v>Satsang Karta from Dewas</x:v>
      </x:c>
      <x:c r="H48" s="39" t="str">
        <x:v>Excel</x:v>
      </x:c>
      <x:c r="I48" s="39" t="str">
        <x:v>Demo_Assignments_Test.xlsx</x:v>
      </x:c>
      <x:c r="J48" s="39"/>
      <x:c r="K48" s="39" t="str">
        <x:v>Synthetic</x:v>
      </x:c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9" t="str">
        <x:v>DEMO-143</x:v>
      </x:c>
      <x:c r="B49" s="40" t="n">
        <x:v>46285</x:v>
      </x:c>
      <x:c r="C49" s="39" t="str">
        <x:v>Indore Area</x:v>
      </x:c>
      <x:c r="D49" s="39" t="str">
        <x:v>Kalaria</x:v>
      </x:c>
      <x:c r="E49" s="39" t="str">
        <x:v>Demo Person 09</x:v>
      </x:c>
      <x:c r="F49" s="39" t="str">
        <x:v>SK</x:v>
      </x:c>
      <x:c r="G49" s="39" t="str">
        <x:v>Regular local assignment</x:v>
      </x:c>
      <x:c r="H49" s="39" t="str">
        <x:v>Excel</x:v>
      </x:c>
      <x:c r="I49" s="39" t="str">
        <x:v>Demo_Assignments_Test.xlsx</x:v>
      </x:c>
      <x:c r="J49" s="39"/>
      <x:c r="K49" s="39" t="str">
        <x:v>Synthetic</x:v>
      </x:c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9" t="str">
        <x:v>DEMO-144</x:v>
      </x:c>
      <x:c r="B50" s="40" t="n">
        <x:v>46292</x:v>
      </x:c>
      <x:c r="C50" s="39" t="str">
        <x:v>Indore Area</x:v>
      </x:c>
      <x:c r="D50" s="39" t="str">
        <x:v>Kalaria</x:v>
      </x:c>
      <x:c r="E50" s="39" t="str">
        <x:v>Demo Person 10</x:v>
      </x:c>
      <x:c r="F50" s="39" t="str">
        <x:v>SR</x:v>
      </x:c>
      <x:c r="G50" s="39" t="str">
        <x:v>Regular local assignment</x:v>
      </x:c>
      <x:c r="H50" s="39" t="str">
        <x:v>Excel</x:v>
      </x:c>
      <x:c r="I50" s="39" t="str">
        <x:v>Demo_Assignments_Test.xlsx</x:v>
      </x:c>
      <x:c r="J50" s="39"/>
      <x:c r="K50" s="39" t="str">
        <x:v>Synthetic</x:v>
      </x:c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9" t="str">
        <x:v>DEMO-145</x:v>
      </x:c>
      <x:c r="B51" s="40" t="n">
        <x:v>46271</x:v>
      </x:c>
      <x:c r="C51" s="39" t="str">
        <x:v>Indore Area</x:v>
      </x:c>
      <x:c r="D51" s="39" t="str">
        <x:v>Betma</x:v>
      </x:c>
      <x:c r="E51" s="39" t="str">
        <x:v>Demo Person 10</x:v>
      </x:c>
      <x:c r="F51" s="39" t="str">
        <x:v>SR</x:v>
      </x:c>
      <x:c r="G51" s="39" t="str">
        <x:v>Satsang Karta from Dewas</x:v>
      </x:c>
      <x:c r="H51" s="39" t="str">
        <x:v>Excel</x:v>
      </x:c>
      <x:c r="I51" s="39" t="str">
        <x:v>Demo_Assignments_Test.xlsx</x:v>
      </x:c>
      <x:c r="J51" s="39"/>
      <x:c r="K51" s="39" t="str">
        <x:v>Synthetic</x:v>
      </x:c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9" t="str">
        <x:v>DEMO-146</x:v>
      </x:c>
      <x:c r="B52" s="40" t="n">
        <x:v>46278</x:v>
      </x:c>
      <x:c r="C52" s="39" t="str">
        <x:v>Indore Area</x:v>
      </x:c>
      <x:c r="D52" s="39" t="str">
        <x:v>Betma</x:v>
      </x:c>
      <x:c r="E52" s="39" t="str">
        <x:v>Demo Person 11</x:v>
      </x:c>
      <x:c r="F52" s="39" t="str">
        <x:v>SK</x:v>
      </x:c>
      <x:c r="G52" s="39" t="str">
        <x:v>Regular local assignment</x:v>
      </x:c>
      <x:c r="H52" s="39" t="str">
        <x:v>Excel</x:v>
      </x:c>
      <x:c r="I52" s="39" t="str">
        <x:v>Demo_Assignments_Test.xlsx</x:v>
      </x:c>
      <x:c r="J52" s="39"/>
      <x:c r="K52" s="39" t="str">
        <x:v>Synthetic</x:v>
      </x:c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9" t="str">
        <x:v>DEMO-147</x:v>
      </x:c>
      <x:c r="B53" s="40" t="n">
        <x:v>46285</x:v>
      </x:c>
      <x:c r="C53" s="39" t="str">
        <x:v>Indore Area</x:v>
      </x:c>
      <x:c r="D53" s="39" t="str">
        <x:v>Betma</x:v>
      </x:c>
      <x:c r="E53" s="39" t="str">
        <x:v>Demo Person 12</x:v>
      </x:c>
      <x:c r="F53" s="39" t="str">
        <x:v>SR</x:v>
      </x:c>
      <x:c r="G53" s="39" t="str">
        <x:v>Regular local assignment</x:v>
      </x:c>
      <x:c r="H53" s="39" t="str">
        <x:v>Excel</x:v>
      </x:c>
      <x:c r="I53" s="39" t="str">
        <x:v>Demo_Assignments_Test.xlsx</x:v>
      </x:c>
      <x:c r="J53" s="39"/>
      <x:c r="K53" s="39" t="str">
        <x:v>Synthetic</x:v>
      </x:c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9" t="str">
        <x:v>DEMO-148</x:v>
      </x:c>
      <x:c r="B54" s="40" t="n">
        <x:v>46292</x:v>
      </x:c>
      <x:c r="C54" s="39" t="str">
        <x:v>Indore Area</x:v>
      </x:c>
      <x:c r="D54" s="39" t="str">
        <x:v>Betma</x:v>
      </x:c>
      <x:c r="E54" s="39" t="str">
        <x:v>Demo Person 01</x:v>
      </x:c>
      <x:c r="F54" s="39" t="str">
        <x:v>SK</x:v>
      </x:c>
      <x:c r="G54" s="39" t="str">
        <x:v>SK from Other area</x:v>
      </x:c>
      <x:c r="H54" s="39" t="str">
        <x:v>Excel</x:v>
      </x:c>
      <x:c r="I54" s="39" t="str">
        <x:v>Demo_Assignments_Test.xlsx</x:v>
      </x:c>
      <x:c r="J54" s="39"/>
      <x:c r="K54" s="39" t="str">
        <x:v>Synthetic</x:v>
      </x:c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9" t="str">
        <x:v>DEMO-149</x:v>
      </x:c>
      <x:c r="B55" s="40" t="n">
        <x:v>46271</x:v>
      </x:c>
      <x:c r="C55" s="39" t="str">
        <x:v>Indore Area</x:v>
      </x:c>
      <x:c r="D55" s="39" t="str">
        <x:v>Semliyachau</x:v>
      </x:c>
      <x:c r="E55" s="39" t="str">
        <x:v>Demo Person 01</x:v>
      </x:c>
      <x:c r="F55" s="39" t="str">
        <x:v>SK</x:v>
      </x:c>
      <x:c r="G55" s="39" t="str">
        <x:v>Regular local assignment</x:v>
      </x:c>
      <x:c r="H55" s="39" t="str">
        <x:v>Excel</x:v>
      </x:c>
      <x:c r="I55" s="39" t="str">
        <x:v>Demo_Assignments_Test.xlsx</x:v>
      </x:c>
      <x:c r="J55" s="39"/>
      <x:c r="K55" s="39" t="str">
        <x:v>Synthetic</x:v>
      </x:c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9" t="str">
        <x:v>DEMO-150</x:v>
      </x:c>
      <x:c r="B56" s="40" t="n">
        <x:v>46278</x:v>
      </x:c>
      <x:c r="C56" s="39" t="str">
        <x:v>Indore Area</x:v>
      </x:c>
      <x:c r="D56" s="39" t="str">
        <x:v>Semliyachau</x:v>
      </x:c>
      <x:c r="E56" s="39" t="str">
        <x:v>Demo Person 02</x:v>
      </x:c>
      <x:c r="F56" s="39" t="str">
        <x:v>SR</x:v>
      </x:c>
      <x:c r="G56" s="39" t="str">
        <x:v>Regular local assignment</x:v>
      </x:c>
      <x:c r="H56" s="39" t="str">
        <x:v>Excel</x:v>
      </x:c>
      <x:c r="I56" s="39" t="str">
        <x:v>Demo_Assignments_Test.xlsx</x:v>
      </x:c>
      <x:c r="J56" s="39"/>
      <x:c r="K56" s="39" t="str">
        <x:v>Synthetic</x:v>
      </x:c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9" t="str">
        <x:v>DEMO-151</x:v>
      </x:c>
      <x:c r="B57" s="40" t="n">
        <x:v>46285</x:v>
      </x:c>
      <x:c r="C57" s="39" t="str">
        <x:v>Indore Area</x:v>
      </x:c>
      <x:c r="D57" s="39" t="str">
        <x:v>Semliyachau</x:v>
      </x:c>
      <x:c r="E57" s="39" t="str">
        <x:v>Demo Person 03</x:v>
      </x:c>
      <x:c r="F57" s="39" t="str">
        <x:v>SK</x:v>
      </x:c>
      <x:c r="G57" s="39" t="str">
        <x:v>SK from Other area</x:v>
      </x:c>
      <x:c r="H57" s="39" t="str">
        <x:v>Excel</x:v>
      </x:c>
      <x:c r="I57" s="39" t="str">
        <x:v>Demo_Assignments_Test.xlsx</x:v>
      </x:c>
      <x:c r="J57" s="39"/>
      <x:c r="K57" s="39" t="str">
        <x:v>Synthetic</x:v>
      </x:c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9" t="str">
        <x:v>DEMO-152</x:v>
      </x:c>
      <x:c r="B58" s="40" t="n">
        <x:v>46292</x:v>
      </x:c>
      <x:c r="C58" s="39" t="str">
        <x:v>Indore Area</x:v>
      </x:c>
      <x:c r="D58" s="39" t="str">
        <x:v>Semliyachau</x:v>
      </x:c>
      <x:c r="E58" s="39" t="str">
        <x:v>Demo Person 04</x:v>
      </x:c>
      <x:c r="F58" s="39" t="str">
        <x:v>SR</x:v>
      </x:c>
      <x:c r="G58" s="39" t="str">
        <x:v>Satsang Karta from Dewas</x:v>
      </x:c>
      <x:c r="H58" s="39" t="str">
        <x:v>Excel</x:v>
      </x:c>
      <x:c r="I58" s="39" t="str">
        <x:v>Demo_Assignments_Test.xlsx</x:v>
      </x:c>
      <x:c r="J58" s="39"/>
      <x:c r="K58" s="39" t="str">
        <x:v>Synthetic</x:v>
      </x:c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9" t="str">
        <x:v>DEMO-153</x:v>
      </x:c>
      <x:c r="B59" s="40" t="n">
        <x:v>46271</x:v>
      </x:c>
      <x:c r="C59" s="39" t="str">
        <x:v>Indore Area</x:v>
      </x:c>
      <x:c r="D59" s="39" t="str">
        <x:v>Tarana</x:v>
      </x:c>
      <x:c r="E59" s="39" t="str">
        <x:v>Demo Person 04</x:v>
      </x:c>
      <x:c r="F59" s="39" t="str">
        <x:v>SR</x:v>
      </x:c>
      <x:c r="G59" s="39" t="str">
        <x:v>Regular local assignment</x:v>
      </x:c>
      <x:c r="H59" s="39" t="str">
        <x:v>Excel</x:v>
      </x:c>
      <x:c r="I59" s="39" t="str">
        <x:v>Demo_Assignments_Test.xlsx</x:v>
      </x:c>
      <x:c r="J59" s="39"/>
      <x:c r="K59" s="39" t="str">
        <x:v>Synthetic</x:v>
      </x:c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9" t="str">
        <x:v>DEMO-154</x:v>
      </x:c>
      <x:c r="B60" s="40" t="n">
        <x:v>46278</x:v>
      </x:c>
      <x:c r="C60" s="39" t="str">
        <x:v>Indore Area</x:v>
      </x:c>
      <x:c r="D60" s="39" t="str">
        <x:v>Tarana</x:v>
      </x:c>
      <x:c r="E60" s="39" t="str">
        <x:v>Demo Person 05</x:v>
      </x:c>
      <x:c r="F60" s="39" t="str">
        <x:v>SK</x:v>
      </x:c>
      <x:c r="G60" s="39" t="str">
        <x:v>SK from Other area</x:v>
      </x:c>
      <x:c r="H60" s="39" t="str">
        <x:v>Excel</x:v>
      </x:c>
      <x:c r="I60" s="39" t="str">
        <x:v>Demo_Assignments_Test.xlsx</x:v>
      </x:c>
      <x:c r="J60" s="39"/>
      <x:c r="K60" s="39" t="str">
        <x:v>Synthetic</x:v>
      </x:c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9" t="str">
        <x:v>DEMO-155</x:v>
      </x:c>
      <x:c r="B61" s="40" t="n">
        <x:v>46285</x:v>
      </x:c>
      <x:c r="C61" s="39" t="str">
        <x:v>Indore Area</x:v>
      </x:c>
      <x:c r="D61" s="39" t="str">
        <x:v>Tarana</x:v>
      </x:c>
      <x:c r="E61" s="39" t="str">
        <x:v>Demo Person 06</x:v>
      </x:c>
      <x:c r="F61" s="39" t="str">
        <x:v>SR</x:v>
      </x:c>
      <x:c r="G61" s="39" t="str">
        <x:v>Satsang Karta from Dewas</x:v>
      </x:c>
      <x:c r="H61" s="39" t="str">
        <x:v>Excel</x:v>
      </x:c>
      <x:c r="I61" s="39" t="str">
        <x:v>Demo_Assignments_Test.xlsx</x:v>
      </x:c>
      <x:c r="J61" s="39"/>
      <x:c r="K61" s="39" t="str">
        <x:v>Synthetic</x:v>
      </x:c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9" t="str">
        <x:v>DEMO-156</x:v>
      </x:c>
      <x:c r="B62" s="40" t="n">
        <x:v>46292</x:v>
      </x:c>
      <x:c r="C62" s="39" t="str">
        <x:v>Indore Area</x:v>
      </x:c>
      <x:c r="D62" s="39" t="str">
        <x:v>Tarana</x:v>
      </x:c>
      <x:c r="E62" s="39" t="str">
        <x:v>Demo Person 07</x:v>
      </x:c>
      <x:c r="F62" s="39" t="str">
        <x:v>SK</x:v>
      </x:c>
      <x:c r="G62" s="39" t="str">
        <x:v>Regular local assignment</x:v>
      </x:c>
      <x:c r="H62" s="39" t="str">
        <x:v>Excel</x:v>
      </x:c>
      <x:c r="I62" s="39" t="str">
        <x:v>Demo_Assignments_Test.xlsx</x:v>
      </x:c>
      <x:c r="J62" s="39"/>
      <x:c r="K62" s="39" t="str">
        <x:v>Synthetic</x:v>
      </x:c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9" t="str">
        <x:v>DEMO-157</x:v>
      </x:c>
      <x:c r="B63" s="40" t="n">
        <x:v>46271</x:v>
      </x:c>
      <x:c r="C63" s="39" t="str">
        <x:v>Indore Area</x:v>
      </x:c>
      <x:c r="D63" s="39" t="str">
        <x:v>Badodia Khan</x:v>
      </x:c>
      <x:c r="E63" s="39" t="str">
        <x:v>Demo Person 07</x:v>
      </x:c>
      <x:c r="F63" s="39" t="str">
        <x:v>SK</x:v>
      </x:c>
      <x:c r="G63" s="39" t="str">
        <x:v>SK from Other area</x:v>
      </x:c>
      <x:c r="H63" s="39" t="str">
        <x:v>Excel</x:v>
      </x:c>
      <x:c r="I63" s="39" t="str">
        <x:v>Demo_Assignments_Test.xlsx</x:v>
      </x:c>
      <x:c r="J63" s="39"/>
      <x:c r="K63" s="39" t="str">
        <x:v>Synthetic</x:v>
      </x:c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9" t="str">
        <x:v>DEMO-158</x:v>
      </x:c>
      <x:c r="B64" s="40" t="n">
        <x:v>46278</x:v>
      </x:c>
      <x:c r="C64" s="39" t="str">
        <x:v>Indore Area</x:v>
      </x:c>
      <x:c r="D64" s="39" t="str">
        <x:v>Badodia Khan</x:v>
      </x:c>
      <x:c r="E64" s="39" t="str">
        <x:v>Demo Person 08</x:v>
      </x:c>
      <x:c r="F64" s="39" t="str">
        <x:v>SR</x:v>
      </x:c>
      <x:c r="G64" s="39" t="str">
        <x:v>Satsang Karta from Dewas</x:v>
      </x:c>
      <x:c r="H64" s="39" t="str">
        <x:v>Excel</x:v>
      </x:c>
      <x:c r="I64" s="39" t="str">
        <x:v>Demo_Assignments_Test.xlsx</x:v>
      </x:c>
      <x:c r="J64" s="39"/>
      <x:c r="K64" s="39" t="str">
        <x:v>Synthetic</x:v>
      </x:c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9" t="str">
        <x:v>DEMO-159</x:v>
      </x:c>
      <x:c r="B65" s="40" t="n">
        <x:v>46285</x:v>
      </x:c>
      <x:c r="C65" s="39" t="str">
        <x:v>Indore Area</x:v>
      </x:c>
      <x:c r="D65" s="39" t="str">
        <x:v>Badodia Khan</x:v>
      </x:c>
      <x:c r="E65" s="39" t="str">
        <x:v>Demo Person 09</x:v>
      </x:c>
      <x:c r="F65" s="39" t="str">
        <x:v>SK</x:v>
      </x:c>
      <x:c r="G65" s="39" t="str">
        <x:v>Regular local assignment</x:v>
      </x:c>
      <x:c r="H65" s="39" t="str">
        <x:v>Excel</x:v>
      </x:c>
      <x:c r="I65" s="39" t="str">
        <x:v>Demo_Assignments_Test.xlsx</x:v>
      </x:c>
      <x:c r="J65" s="39"/>
      <x:c r="K65" s="39" t="str">
        <x:v>Synthetic</x:v>
      </x:c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9" t="str">
        <x:v>DEMO-160</x:v>
      </x:c>
      <x:c r="B66" s="40" t="n">
        <x:v>46292</x:v>
      </x:c>
      <x:c r="C66" s="39" t="str">
        <x:v>Indore Area</x:v>
      </x:c>
      <x:c r="D66" s="39" t="str">
        <x:v>Badodia Khan</x:v>
      </x:c>
      <x:c r="E66" s="39" t="str">
        <x:v>Demo Person 10</x:v>
      </x:c>
      <x:c r="F66" s="39" t="str">
        <x:v>SR</x:v>
      </x:c>
      <x:c r="G66" s="39" t="str">
        <x:v>Regular local assignment</x:v>
      </x:c>
      <x:c r="H66" s="39" t="str">
        <x:v>Excel</x:v>
      </x:c>
      <x:c r="I66" s="39" t="str">
        <x:v>Demo_Assignments_Test.xlsx</x:v>
      </x:c>
      <x:c r="J66" s="39"/>
      <x:c r="K66" s="39" t="str">
        <x:v>Synthetic</x:v>
      </x:c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9" t="str">
        <x:v>DEMO-161</x:v>
      </x:c>
      <x:c r="B67" s="40" t="n">
        <x:v>46271</x:v>
      </x:c>
      <x:c r="C67" s="39" t="str">
        <x:v>Indore Area</x:v>
      </x:c>
      <x:c r="D67" s="39" t="str">
        <x:v>Ajnod</x:v>
      </x:c>
      <x:c r="E67" s="39" t="str">
        <x:v>Demo Person 10</x:v>
      </x:c>
      <x:c r="F67" s="39" t="str">
        <x:v>SR</x:v>
      </x:c>
      <x:c r="G67" s="39" t="str">
        <x:v>Satsang Karta from Dewas</x:v>
      </x:c>
      <x:c r="H67" s="39" t="str">
        <x:v>Excel</x:v>
      </x:c>
      <x:c r="I67" s="39" t="str">
        <x:v>Demo_Assignments_Test.xlsx</x:v>
      </x:c>
      <x:c r="J67" s="39"/>
      <x:c r="K67" s="39" t="str">
        <x:v>Synthetic</x:v>
      </x:c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9" t="str">
        <x:v>DEMO-162</x:v>
      </x:c>
      <x:c r="B68" s="40" t="n">
        <x:v>46278</x:v>
      </x:c>
      <x:c r="C68" s="39" t="str">
        <x:v>Indore Area</x:v>
      </x:c>
      <x:c r="D68" s="39" t="str">
        <x:v>Ajnod</x:v>
      </x:c>
      <x:c r="E68" s="39" t="str">
        <x:v>Demo Person 11</x:v>
      </x:c>
      <x:c r="F68" s="39" t="str">
        <x:v>SK</x:v>
      </x:c>
      <x:c r="G68" s="39" t="str">
        <x:v>Regular local assignment</x:v>
      </x:c>
      <x:c r="H68" s="39" t="str">
        <x:v>Excel</x:v>
      </x:c>
      <x:c r="I68" s="39" t="str">
        <x:v>Demo_Assignments_Test.xlsx</x:v>
      </x:c>
      <x:c r="J68" s="39"/>
      <x:c r="K68" s="39" t="str">
        <x:v>Synthetic</x:v>
      </x:c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9" t="str">
        <x:v>DEMO-163</x:v>
      </x:c>
      <x:c r="B69" s="40" t="n">
        <x:v>46285</x:v>
      </x:c>
      <x:c r="C69" s="39" t="str">
        <x:v>Indore Area</x:v>
      </x:c>
      <x:c r="D69" s="39" t="str">
        <x:v>Ajnod</x:v>
      </x:c>
      <x:c r="E69" s="39" t="str">
        <x:v>Demo Person 12</x:v>
      </x:c>
      <x:c r="F69" s="39" t="str">
        <x:v>SR</x:v>
      </x:c>
      <x:c r="G69" s="39" t="str">
        <x:v>Regular local assignment</x:v>
      </x:c>
      <x:c r="H69" s="39" t="str">
        <x:v>Excel</x:v>
      </x:c>
      <x:c r="I69" s="39" t="str">
        <x:v>Demo_Assignments_Test.xlsx</x:v>
      </x:c>
      <x:c r="J69" s="39"/>
      <x:c r="K69" s="39" t="str">
        <x:v>Synthetic</x:v>
      </x:c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9" t="str">
        <x:v>DEMO-164</x:v>
      </x:c>
      <x:c r="B70" s="40" t="n">
        <x:v>46292</x:v>
      </x:c>
      <x:c r="C70" s="39" t="str">
        <x:v>Indore Area</x:v>
      </x:c>
      <x:c r="D70" s="39" t="str">
        <x:v>Ajnod</x:v>
      </x:c>
      <x:c r="E70" s="39" t="str">
        <x:v>Demo Person 01</x:v>
      </x:c>
      <x:c r="F70" s="39" t="str">
        <x:v>SK</x:v>
      </x:c>
      <x:c r="G70" s="39" t="str">
        <x:v>SK from Other area</x:v>
      </x:c>
      <x:c r="H70" s="39" t="str">
        <x:v>Excel</x:v>
      </x:c>
      <x:c r="I70" s="39" t="str">
        <x:v>Demo_Assignments_Test.xlsx</x:v>
      </x:c>
      <x:c r="J70" s="39"/>
      <x:c r="K70" s="39" t="str">
        <x:v>Synthetic</x:v>
      </x:c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9" t="str">
        <x:v>DEMO-165</x:v>
      </x:c>
      <x:c r="B71" s="40" t="n">
        <x:v>46271</x:v>
      </x:c>
      <x:c r="C71" s="39" t="str">
        <x:v>Indore Area</x:v>
      </x:c>
      <x:c r="D71" s="39" t="str">
        <x:v>Takun</x:v>
      </x:c>
      <x:c r="E71" s="39" t="str">
        <x:v>Demo Person 01</x:v>
      </x:c>
      <x:c r="F71" s="39" t="str">
        <x:v>SK</x:v>
      </x:c>
      <x:c r="G71" s="39" t="str">
        <x:v>Regular local assignment</x:v>
      </x:c>
      <x:c r="H71" s="39" t="str">
        <x:v>Excel</x:v>
      </x:c>
      <x:c r="I71" s="39" t="str">
        <x:v>Demo_Assignments_Test.xlsx</x:v>
      </x:c>
      <x:c r="J71" s="39"/>
      <x:c r="K71" s="39" t="str">
        <x:v>Synthetic</x:v>
      </x:c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9" t="str">
        <x:v>DEMO-166</x:v>
      </x:c>
      <x:c r="B72" s="40" t="n">
        <x:v>46278</x:v>
      </x:c>
      <x:c r="C72" s="39" t="str">
        <x:v>Indore Area</x:v>
      </x:c>
      <x:c r="D72" s="39" t="str">
        <x:v>Takun</x:v>
      </x:c>
      <x:c r="E72" s="39" t="str">
        <x:v>Demo Person 02</x:v>
      </x:c>
      <x:c r="F72" s="39" t="str">
        <x:v>SR</x:v>
      </x:c>
      <x:c r="G72" s="39" t="str">
        <x:v>Regular local assignment</x:v>
      </x:c>
      <x:c r="H72" s="39" t="str">
        <x:v>Excel</x:v>
      </x:c>
      <x:c r="I72" s="39" t="str">
        <x:v>Demo_Assignments_Test.xlsx</x:v>
      </x:c>
      <x:c r="J72" s="39"/>
      <x:c r="K72" s="39" t="str">
        <x:v>Synthetic</x:v>
      </x:c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9" t="str">
        <x:v>DEMO-167</x:v>
      </x:c>
      <x:c r="B73" s="40" t="n">
        <x:v>46285</x:v>
      </x:c>
      <x:c r="C73" s="39" t="str">
        <x:v>Indore Area</x:v>
      </x:c>
      <x:c r="D73" s="39" t="str">
        <x:v>Takun</x:v>
      </x:c>
      <x:c r="E73" s="39" t="str">
        <x:v>Demo Person 03</x:v>
      </x:c>
      <x:c r="F73" s="39" t="str">
        <x:v>SK</x:v>
      </x:c>
      <x:c r="G73" s="39" t="str">
        <x:v>SK from Other area</x:v>
      </x:c>
      <x:c r="H73" s="39" t="str">
        <x:v>Excel</x:v>
      </x:c>
      <x:c r="I73" s="39" t="str">
        <x:v>Demo_Assignments_Test.xlsx</x:v>
      </x:c>
      <x:c r="J73" s="39"/>
      <x:c r="K73" s="39" t="str">
        <x:v>Synthetic</x:v>
      </x:c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9" t="str">
        <x:v>DEMO-168</x:v>
      </x:c>
      <x:c r="B74" s="40" t="n">
        <x:v>46292</x:v>
      </x:c>
      <x:c r="C74" s="39" t="str">
        <x:v>Indore Area</x:v>
      </x:c>
      <x:c r="D74" s="39" t="str">
        <x:v>Takun</x:v>
      </x:c>
      <x:c r="E74" s="39" t="str">
        <x:v>Demo Person 04</x:v>
      </x:c>
      <x:c r="F74" s="39" t="str">
        <x:v>SR</x:v>
      </x:c>
      <x:c r="G74" s="39" t="str">
        <x:v>Satsang Karta from Dewas</x:v>
      </x:c>
      <x:c r="H74" s="39" t="str">
        <x:v>Excel</x:v>
      </x:c>
      <x:c r="I74" s="39" t="str">
        <x:v>Demo_Assignments_Test.xlsx</x:v>
      </x:c>
      <x:c r="J74" s="39"/>
      <x:c r="K74" s="39" t="str">
        <x:v>Synthetic</x:v>
      </x:c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9" t="str">
        <x:v>DEMO-169</x:v>
      </x:c>
      <x:c r="B75" s="40" t="n">
        <x:v>46271</x:v>
      </x:c>
      <x:c r="C75" s="39" t="str">
        <x:v>Indore Area</x:v>
      </x:c>
      <x:c r="D75" s="39" t="str">
        <x:v>Potlod</x:v>
      </x:c>
      <x:c r="E75" s="39" t="str">
        <x:v>Demo Person 04</x:v>
      </x:c>
      <x:c r="F75" s="39" t="str">
        <x:v>SR</x:v>
      </x:c>
      <x:c r="G75" s="39" t="str">
        <x:v>Regular local assignment</x:v>
      </x:c>
      <x:c r="H75" s="39" t="str">
        <x:v>Excel</x:v>
      </x:c>
      <x:c r="I75" s="39" t="str">
        <x:v>Demo_Assignments_Test.xlsx</x:v>
      </x:c>
      <x:c r="J75" s="39"/>
      <x:c r="K75" s="39" t="str">
        <x:v>Synthetic</x:v>
      </x:c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9" t="str">
        <x:v>DEMO-170</x:v>
      </x:c>
      <x:c r="B76" s="40" t="n">
        <x:v>46278</x:v>
      </x:c>
      <x:c r="C76" s="39" t="str">
        <x:v>Indore Area</x:v>
      </x:c>
      <x:c r="D76" s="39" t="str">
        <x:v>Potlod</x:v>
      </x:c>
      <x:c r="E76" s="39" t="str">
        <x:v>Demo Person 05</x:v>
      </x:c>
      <x:c r="F76" s="39" t="str">
        <x:v>SK</x:v>
      </x:c>
      <x:c r="G76" s="39" t="str">
        <x:v>SK from Other area</x:v>
      </x:c>
      <x:c r="H76" s="39" t="str">
        <x:v>Excel</x:v>
      </x:c>
      <x:c r="I76" s="39" t="str">
        <x:v>Demo_Assignments_Test.xlsx</x:v>
      </x:c>
      <x:c r="J76" s="39"/>
      <x:c r="K76" s="39" t="str">
        <x:v>Synthetic</x:v>
      </x:c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9" t="str">
        <x:v>DEMO-171</x:v>
      </x:c>
      <x:c r="B77" s="40" t="n">
        <x:v>46285</x:v>
      </x:c>
      <x:c r="C77" s="39" t="str">
        <x:v>Indore Area</x:v>
      </x:c>
      <x:c r="D77" s="39" t="str">
        <x:v>Potlod</x:v>
      </x:c>
      <x:c r="E77" s="39" t="str">
        <x:v>Demo Person 06</x:v>
      </x:c>
      <x:c r="F77" s="39" t="str">
        <x:v>SR</x:v>
      </x:c>
      <x:c r="G77" s="39" t="str">
        <x:v>Satsang Karta from Dewas</x:v>
      </x:c>
      <x:c r="H77" s="39" t="str">
        <x:v>Excel</x:v>
      </x:c>
      <x:c r="I77" s="39" t="str">
        <x:v>Demo_Assignments_Test.xlsx</x:v>
      </x:c>
      <x:c r="J77" s="39"/>
      <x:c r="K77" s="39" t="str">
        <x:v>Synthetic</x:v>
      </x:c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9" t="str">
        <x:v>DEMO-172</x:v>
      </x:c>
      <x:c r="B78" s="40" t="n">
        <x:v>46292</x:v>
      </x:c>
      <x:c r="C78" s="39" t="str">
        <x:v>Indore Area</x:v>
      </x:c>
      <x:c r="D78" s="39" t="str">
        <x:v>Potlod</x:v>
      </x:c>
      <x:c r="E78" s="39" t="str">
        <x:v>Demo Person 07</x:v>
      </x:c>
      <x:c r="F78" s="39" t="str">
        <x:v>SK</x:v>
      </x:c>
      <x:c r="G78" s="39" t="str">
        <x:v>Regular local assignment</x:v>
      </x:c>
      <x:c r="H78" s="39" t="str">
        <x:v>Excel</x:v>
      </x:c>
      <x:c r="I78" s="39" t="str">
        <x:v>Demo_Assignments_Test.xlsx</x:v>
      </x:c>
      <x:c r="J78" s="39"/>
      <x:c r="K78" s="39" t="str">
        <x:v>Synthetic</x:v>
      </x:c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9" t="str">
        <x:v>DEMO-173</x:v>
      </x:c>
      <x:c r="B79" s="40" t="n">
        <x:v>46271</x:v>
      </x:c>
      <x:c r="C79" s="39" t="str">
        <x:v>Indore Area</x:v>
      </x:c>
      <x:c r="D79" s="39" t="str">
        <x:v>Pivday</x:v>
      </x:c>
      <x:c r="E79" s="39" t="str">
        <x:v>Demo Person 07</x:v>
      </x:c>
      <x:c r="F79" s="39" t="str">
        <x:v>SK</x:v>
      </x:c>
      <x:c r="G79" s="39" t="str">
        <x:v>SK from Other area</x:v>
      </x:c>
      <x:c r="H79" s="39" t="str">
        <x:v>Excel</x:v>
      </x:c>
      <x:c r="I79" s="39" t="str">
        <x:v>Demo_Assignments_Test.xlsx</x:v>
      </x:c>
      <x:c r="J79" s="39"/>
      <x:c r="K79" s="39" t="str">
        <x:v>Synthetic</x:v>
      </x:c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9" t="str">
        <x:v>DEMO-174</x:v>
      </x:c>
      <x:c r="B80" s="40" t="n">
        <x:v>46278</x:v>
      </x:c>
      <x:c r="C80" s="39" t="str">
        <x:v>Indore Area</x:v>
      </x:c>
      <x:c r="D80" s="39" t="str">
        <x:v>Pivday</x:v>
      </x:c>
      <x:c r="E80" s="39" t="str">
        <x:v>Demo Person 08</x:v>
      </x:c>
      <x:c r="F80" s="39" t="str">
        <x:v>SR</x:v>
      </x:c>
      <x:c r="G80" s="39" t="str">
        <x:v>Satsang Karta from Dewas</x:v>
      </x:c>
      <x:c r="H80" s="39" t="str">
        <x:v>Excel</x:v>
      </x:c>
      <x:c r="I80" s="39" t="str">
        <x:v>Demo_Assignments_Test.xlsx</x:v>
      </x:c>
      <x:c r="J80" s="39"/>
      <x:c r="K80" s="39" t="str">
        <x:v>Synthetic</x:v>
      </x:c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9" t="str">
        <x:v>DEMO-175</x:v>
      </x:c>
      <x:c r="B81" s="40" t="n">
        <x:v>46285</x:v>
      </x:c>
      <x:c r="C81" s="39" t="str">
        <x:v>Indore Area</x:v>
      </x:c>
      <x:c r="D81" s="39" t="str">
        <x:v>Pivday</x:v>
      </x:c>
      <x:c r="E81" s="39" t="str">
        <x:v>Demo Person 09</x:v>
      </x:c>
      <x:c r="F81" s="39" t="str">
        <x:v>SK</x:v>
      </x:c>
      <x:c r="G81" s="39" t="str">
        <x:v>Regular local assignment</x:v>
      </x:c>
      <x:c r="H81" s="39" t="str">
        <x:v>Excel</x:v>
      </x:c>
      <x:c r="I81" s="39" t="str">
        <x:v>Demo_Assignments_Test.xlsx</x:v>
      </x:c>
      <x:c r="J81" s="39"/>
      <x:c r="K81" s="39" t="str">
        <x:v>Synthetic</x:v>
      </x:c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9" t="str">
        <x:v>DEMO-176</x:v>
      </x:c>
      <x:c r="B82" s="40" t="n">
        <x:v>46292</x:v>
      </x:c>
      <x:c r="C82" s="39" t="str">
        <x:v>Indore Area</x:v>
      </x:c>
      <x:c r="D82" s="39" t="str">
        <x:v>Pivday</x:v>
      </x:c>
      <x:c r="E82" s="39" t="str">
        <x:v>Demo Person 10</x:v>
      </x:c>
      <x:c r="F82" s="39" t="str">
        <x:v>SR</x:v>
      </x:c>
      <x:c r="G82" s="39" t="str">
        <x:v>Regular local assignment</x:v>
      </x:c>
      <x:c r="H82" s="39" t="str">
        <x:v>Excel</x:v>
      </x:c>
      <x:c r="I82" s="39" t="str">
        <x:v>Demo_Assignments_Test.xlsx</x:v>
      </x:c>
      <x:c r="J82" s="39"/>
      <x:c r="K82" s="39" t="str">
        <x:v>Synthetic</x:v>
      </x:c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f3bc0c2c15441c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4" hidden="0" customWidth="1"/>
    <x:col min="4" max="4" width="18" hidden="0" customWidth="1"/>
    <x:col min="5" max="5" width="20" hidden="0" customWidth="1"/>
    <x:col min="6" max="6" width="13" hidden="0" customWidth="1"/>
    <x:col min="7" max="7" width="20" hidden="0" customWidth="1"/>
    <x:col min="8" max="8" width="12" hidden="0" customWidth="1"/>
    <x:col min="9" max="9" width="34" hidden="0" customWidth="1"/>
    <x:col min="10" max="10" width="14" hidden="0" customWidth="1"/>
  </x:cols>
  <x:sheetData>
    <x:row r="1" ht="28" customHeight="1">
      <x:c r="A1" s="5" t="str">
        <x:v>Attendance Data — Synthetic Test Set</x:v>
      </x:c>
      <x:c r="B1" s="5" t="str">
        <x:v>Attendance Data — Synthetic Test Set</x:v>
      </x:c>
      <x:c r="C1" s="5" t="str">
        <x:v>Attendance Data — Synthetic Test Set</x:v>
      </x:c>
      <x:c r="D1" s="5" t="str">
        <x:v>Attendance Data — Synthetic Test Set</x:v>
      </x:c>
      <x:c r="E1" s="5" t="str">
        <x:v>Attendance Data — Synthetic Test Set</x:v>
      </x:c>
      <x:c r="F1" s="5" t="str">
        <x:v>Attendance Data — Synthetic Test Set</x:v>
      </x:c>
      <x:c r="G1" s="5" t="str">
        <x:v>Attendance Data — Synthetic Test Set</x:v>
      </x:c>
      <x:c r="H1" s="5" t="str">
        <x:v>Attendance Data — Synthetic Test Set</x:v>
      </x:c>
      <x:c r="I1" s="5" t="str">
        <x:v>Attendance Data — Synthetic Test Set</x:v>
      </x:c>
      <x:c r="J1" s="5" t="str">
        <x:v>Attendance Data — Synthetic Test Set</x:v>
      </x:c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7"/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14" t="str">
        <x:v>Record ID</x:v>
      </x:c>
      <x:c r="B3" s="14" t="str">
        <x:v>Date</x:v>
      </x:c>
      <x:c r="C3" s="14" t="str">
        <x:v>Month</x:v>
      </x:c>
      <x:c r="D3" s="14" t="str">
        <x:v>Major Center</x:v>
      </x:c>
      <x:c r="E3" s="14" t="str">
        <x:v>Satsang Ghar</x:v>
      </x:c>
      <x:c r="F3" s="14" t="str">
        <x:v>Attendance</x:v>
      </x:c>
      <x:c r="G3" s="14" t="str">
        <x:v>Session Type</x:v>
      </x:c>
      <x:c r="H3" s="14" t="str">
        <x:v>Source Type</x:v>
      </x:c>
      <x:c r="I3" s="14" t="str">
        <x:v>Source File</x:v>
      </x:c>
      <x:c r="J3" s="14" t="str">
        <x:v>Data Origin</x:v>
      </x:c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9" t="str">
        <x:v>ATT-001</x:v>
      </x:c>
      <x:c r="B4" s="40" t="n">
        <x:v>46271</x:v>
      </x:c>
      <x:c r="C4" s="39" t="str">
        <x:v>September 2026</x:v>
      </x:c>
      <x:c r="D4" s="39" t="str">
        <x:v>Indore Area</x:v>
      </x:c>
      <x:c r="E4" s="39" t="str">
        <x:v>Sukhliya</x:v>
      </x:c>
      <x:c r="F4" s="46" t="n">
        <x:v>74</x:v>
      </x:c>
      <x:c r="G4" s="39" t="str">
        <x:v>Regular Sunday</x:v>
      </x:c>
      <x:c r="H4" s="39" t="str">
        <x:v>Excel</x:v>
      </x:c>
      <x:c r="I4" s="39" t="str">
        <x:v>Attendance_Sep_2026_Demo.xlsx</x:v>
      </x:c>
      <x:c r="J4" s="39" t="str">
        <x:v>Synthetic</x:v>
      </x:c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9" t="str">
        <x:v>ATT-002</x:v>
      </x:c>
      <x:c r="B5" s="40" t="n">
        <x:v>46278</x:v>
      </x:c>
      <x:c r="C5" s="39" t="str">
        <x:v>September 2026</x:v>
      </x:c>
      <x:c r="D5" s="39" t="str">
        <x:v>Indore Area</x:v>
      </x:c>
      <x:c r="E5" s="39" t="str">
        <x:v>Sukhliya</x:v>
      </x:c>
      <x:c r="F5" s="46" t="n">
        <x:v>83</x:v>
      </x:c>
      <x:c r="G5" s="39" t="str">
        <x:v>Regular Sunday</x:v>
      </x:c>
      <x:c r="H5" s="39" t="str">
        <x:v>Excel</x:v>
      </x:c>
      <x:c r="I5" s="39" t="str">
        <x:v>Attendance_Sep_2026_Demo.xlsx</x:v>
      </x:c>
      <x:c r="J5" s="39" t="str">
        <x:v>Synthetic</x:v>
      </x:c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9" t="str">
        <x:v>ATT-003</x:v>
      </x:c>
      <x:c r="B6" s="40" t="n">
        <x:v>46285</x:v>
      </x:c>
      <x:c r="C6" s="39" t="str">
        <x:v>September 2026</x:v>
      </x:c>
      <x:c r="D6" s="39" t="str">
        <x:v>Indore Area</x:v>
      </x:c>
      <x:c r="E6" s="39" t="str">
        <x:v>Sukhliya</x:v>
      </x:c>
      <x:c r="F6" s="46" t="n">
        <x:v>92</x:v>
      </x:c>
      <x:c r="G6" s="39" t="str">
        <x:v>Special Sunday</x:v>
      </x:c>
      <x:c r="H6" s="39" t="str">
        <x:v>Excel</x:v>
      </x:c>
      <x:c r="I6" s="39" t="str">
        <x:v>Attendance_Sep_2026_Demo.xlsx</x:v>
      </x:c>
      <x:c r="J6" s="39" t="str">
        <x:v>Synthetic</x:v>
      </x:c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9" t="str">
        <x:v>ATT-004</x:v>
      </x:c>
      <x:c r="B7" s="40" t="n">
        <x:v>46292</x:v>
      </x:c>
      <x:c r="C7" s="39" t="str">
        <x:v>September 2026</x:v>
      </x:c>
      <x:c r="D7" s="39" t="str">
        <x:v>Indore Area</x:v>
      </x:c>
      <x:c r="E7" s="39" t="str">
        <x:v>Sukhliya</x:v>
      </x:c>
      <x:c r="F7" s="46" t="n">
        <x:v>101</x:v>
      </x:c>
      <x:c r="G7" s="39" t="str">
        <x:v>Regular Sunday</x:v>
      </x:c>
      <x:c r="H7" s="39" t="str">
        <x:v>Excel</x:v>
      </x:c>
      <x:c r="I7" s="39" t="str">
        <x:v>Attendance_Sep_2026_Demo.xlsx</x:v>
      </x:c>
      <x:c r="J7" s="39" t="str">
        <x:v>Synthetic</x:v>
      </x:c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9" t="str">
        <x:v>ATT-005</x:v>
      </x:c>
      <x:c r="B8" s="40" t="n">
        <x:v>46271</x:v>
      </x:c>
      <x:c r="C8" s="39" t="str">
        <x:v>September 2026</x:v>
      </x:c>
      <x:c r="D8" s="39" t="str">
        <x:v>Indore Area</x:v>
      </x:c>
      <x:c r="E8" s="39" t="str">
        <x:v>Kila Road</x:v>
      </x:c>
      <x:c r="F8" s="46" t="n">
        <x:v>95</x:v>
      </x:c>
      <x:c r="G8" s="39" t="str">
        <x:v>Regular Sunday</x:v>
      </x:c>
      <x:c r="H8" s="39" t="str">
        <x:v>Excel</x:v>
      </x:c>
      <x:c r="I8" s="39" t="str">
        <x:v>Attendance_Sep_2026_Demo.xlsx</x:v>
      </x:c>
      <x:c r="J8" s="39" t="str">
        <x:v>Synthetic</x:v>
      </x:c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9" t="str">
        <x:v>ATT-006</x:v>
      </x:c>
      <x:c r="B9" s="40" t="n">
        <x:v>46278</x:v>
      </x:c>
      <x:c r="C9" s="39" t="str">
        <x:v>September 2026</x:v>
      </x:c>
      <x:c r="D9" s="39" t="str">
        <x:v>Indore Area</x:v>
      </x:c>
      <x:c r="E9" s="39" t="str">
        <x:v>Kila Road</x:v>
      </x:c>
      <x:c r="F9" s="46" t="n">
        <x:v>104</x:v>
      </x:c>
      <x:c r="G9" s="39" t="str">
        <x:v>Regular Sunday</x:v>
      </x:c>
      <x:c r="H9" s="39" t="str">
        <x:v>Excel</x:v>
      </x:c>
      <x:c r="I9" s="39" t="str">
        <x:v>Attendance_Sep_2026_Demo.xlsx</x:v>
      </x:c>
      <x:c r="J9" s="39" t="str">
        <x:v>Synthetic</x:v>
      </x:c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9" t="str">
        <x:v>ATT-007</x:v>
      </x:c>
      <x:c r="B10" s="40" t="n">
        <x:v>46285</x:v>
      </x:c>
      <x:c r="C10" s="39" t="str">
        <x:v>September 2026</x:v>
      </x:c>
      <x:c r="D10" s="39" t="str">
        <x:v>Indore Area</x:v>
      </x:c>
      <x:c r="E10" s="39" t="str">
        <x:v>Kila Road</x:v>
      </x:c>
      <x:c r="F10" s="46" t="n">
        <x:v>113</x:v>
      </x:c>
      <x:c r="G10" s="39" t="str">
        <x:v>Special Sunday</x:v>
      </x:c>
      <x:c r="H10" s="39" t="str">
        <x:v>Excel</x:v>
      </x:c>
      <x:c r="I10" s="39" t="str">
        <x:v>Attendance_Sep_2026_Demo.xlsx</x:v>
      </x:c>
      <x:c r="J10" s="39" t="str">
        <x:v>Synthetic</x:v>
      </x:c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9" t="str">
        <x:v>ATT-008</x:v>
      </x:c>
      <x:c r="B11" s="40" t="n">
        <x:v>46292</x:v>
      </x:c>
      <x:c r="C11" s="39" t="str">
        <x:v>September 2026</x:v>
      </x:c>
      <x:c r="D11" s="39" t="str">
        <x:v>Indore Area</x:v>
      </x:c>
      <x:c r="E11" s="39" t="str">
        <x:v>Kila Road</x:v>
      </x:c>
      <x:c r="F11" s="46" t="n">
        <x:v>113</x:v>
      </x:c>
      <x:c r="G11" s="39" t="str">
        <x:v>Regular Sunday</x:v>
      </x:c>
      <x:c r="H11" s="39" t="str">
        <x:v>Excel</x:v>
      </x:c>
      <x:c r="I11" s="39" t="str">
        <x:v>Attendance_Sep_2026_Demo.xlsx</x:v>
      </x:c>
      <x:c r="J11" s="39" t="str">
        <x:v>Synthetic</x:v>
      </x:c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9" t="str">
        <x:v>ATT-009</x:v>
      </x:c>
      <x:c r="B12" s="40" t="n">
        <x:v>46271</x:v>
      </x:c>
      <x:c r="C12" s="39" t="str">
        <x:v>September 2026</x:v>
      </x:c>
      <x:c r="D12" s="39" t="str">
        <x:v>Indore Area</x:v>
      </x:c>
      <x:c r="E12" s="39" t="str">
        <x:v>Manglia</x:v>
      </x:c>
      <x:c r="F12" s="46" t="n">
        <x:v>114</x:v>
      </x:c>
      <x:c r="G12" s="39" t="str">
        <x:v>Regular Sunday</x:v>
      </x:c>
      <x:c r="H12" s="39" t="str">
        <x:v>Excel</x:v>
      </x:c>
      <x:c r="I12" s="39" t="str">
        <x:v>Attendance_Sep_2026_Demo.xlsx</x:v>
      </x:c>
      <x:c r="J12" s="39" t="str">
        <x:v>Synthetic</x:v>
      </x:c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9" t="str">
        <x:v>ATT-010</x:v>
      </x:c>
      <x:c r="B13" s="40" t="n">
        <x:v>46278</x:v>
      </x:c>
      <x:c r="C13" s="39" t="str">
        <x:v>September 2026</x:v>
      </x:c>
      <x:c r="D13" s="39" t="str">
        <x:v>Indore Area</x:v>
      </x:c>
      <x:c r="E13" s="39" t="str">
        <x:v>Manglia</x:v>
      </x:c>
      <x:c r="F13" s="46" t="n">
        <x:v>123</x:v>
      </x:c>
      <x:c r="G13" s="39" t="str">
        <x:v>Regular Sunday</x:v>
      </x:c>
      <x:c r="H13" s="39" t="str">
        <x:v>Excel</x:v>
      </x:c>
      <x:c r="I13" s="39" t="str">
        <x:v>Attendance_Sep_2026_Demo.xlsx</x:v>
      </x:c>
      <x:c r="J13" s="39" t="str">
        <x:v>Synthetic</x:v>
      </x:c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9" t="str">
        <x:v>ATT-011</x:v>
      </x:c>
      <x:c r="B14" s="40" t="n">
        <x:v>46285</x:v>
      </x:c>
      <x:c r="C14" s="39" t="str">
        <x:v>September 2026</x:v>
      </x:c>
      <x:c r="D14" s="39" t="str">
        <x:v>Indore Area</x:v>
      </x:c>
      <x:c r="E14" s="39" t="str">
        <x:v>Manglia</x:v>
      </x:c>
      <x:c r="F14" s="46" t="n">
        <x:v>123</x:v>
      </x:c>
      <x:c r="G14" s="39" t="str">
        <x:v>Special Sunday</x:v>
      </x:c>
      <x:c r="H14" s="39" t="str">
        <x:v>Excel</x:v>
      </x:c>
      <x:c r="I14" s="39" t="str">
        <x:v>Attendance_Sep_2026_Demo.xlsx</x:v>
      </x:c>
      <x:c r="J14" s="39" t="str">
        <x:v>Synthetic</x:v>
      </x:c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9" t="str">
        <x:v>ATT-012</x:v>
      </x:c>
      <x:c r="B15" s="40" t="n">
        <x:v>46292</x:v>
      </x:c>
      <x:c r="C15" s="39" t="str">
        <x:v>September 2026</x:v>
      </x:c>
      <x:c r="D15" s="39" t="str">
        <x:v>Indore Area</x:v>
      </x:c>
      <x:c r="E15" s="39" t="str">
        <x:v>Manglia</x:v>
      </x:c>
      <x:c r="F15" s="46" t="n">
        <x:v>132</x:v>
      </x:c>
      <x:c r="G15" s="39" t="str">
        <x:v>Regular Sunday</x:v>
      </x:c>
      <x:c r="H15" s="39" t="str">
        <x:v>Excel</x:v>
      </x:c>
      <x:c r="I15" s="39" t="str">
        <x:v>Attendance_Sep_2026_Demo.xlsx</x:v>
      </x:c>
      <x:c r="J15" s="39" t="str">
        <x:v>Synthetic</x:v>
      </x:c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9" t="str">
        <x:v>ATT-013</x:v>
      </x:c>
      <x:c r="B16" s="40" t="n">
        <x:v>46271</x:v>
      </x:c>
      <x:c r="C16" s="39" t="str">
        <x:v>September 2026</x:v>
      </x:c>
      <x:c r="D16" s="39" t="str">
        <x:v>Indore Area</x:v>
      </x:c>
      <x:c r="E16" s="39" t="str">
        <x:v>Bicholi Hapsi</x:v>
      </x:c>
      <x:c r="F16" s="46" t="n">
        <x:v>66</x:v>
      </x:c>
      <x:c r="G16" s="39" t="str">
        <x:v>Regular Sunday</x:v>
      </x:c>
      <x:c r="H16" s="39" t="str">
        <x:v>Excel</x:v>
      </x:c>
      <x:c r="I16" s="39" t="str">
        <x:v>Attendance_Sep_2026_Demo.xlsx</x:v>
      </x:c>
      <x:c r="J16" s="39" t="str">
        <x:v>Synthetic</x:v>
      </x:c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9" t="str">
        <x:v>ATT-014</x:v>
      </x:c>
      <x:c r="B17" s="40" t="n">
        <x:v>46278</x:v>
      </x:c>
      <x:c r="C17" s="39" t="str">
        <x:v>September 2026</x:v>
      </x:c>
      <x:c r="D17" s="39" t="str">
        <x:v>Indore Area</x:v>
      </x:c>
      <x:c r="E17" s="39" t="str">
        <x:v>Bicholi Hapsi</x:v>
      </x:c>
      <x:c r="F17" s="46" t="n">
        <x:v>75</x:v>
      </x:c>
      <x:c r="G17" s="39" t="str">
        <x:v>Regular Sunday</x:v>
      </x:c>
      <x:c r="H17" s="39" t="str">
        <x:v>Excel</x:v>
      </x:c>
      <x:c r="I17" s="39" t="str">
        <x:v>Attendance_Sep_2026_Demo.xlsx</x:v>
      </x:c>
      <x:c r="J17" s="39" t="str">
        <x:v>Synthetic</x:v>
      </x:c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9" t="str">
        <x:v>ATT-015</x:v>
      </x:c>
      <x:c r="B18" s="40" t="n">
        <x:v>46285</x:v>
      </x:c>
      <x:c r="C18" s="39" t="str">
        <x:v>September 2026</x:v>
      </x:c>
      <x:c r="D18" s="39" t="str">
        <x:v>Indore Area</x:v>
      </x:c>
      <x:c r="E18" s="39" t="str">
        <x:v>Bicholi Hapsi</x:v>
      </x:c>
      <x:c r="F18" s="46" t="n">
        <x:v>84</x:v>
      </x:c>
      <x:c r="G18" s="39" t="str">
        <x:v>Special Sunday</x:v>
      </x:c>
      <x:c r="H18" s="39" t="str">
        <x:v>Excel</x:v>
      </x:c>
      <x:c r="I18" s="39" t="str">
        <x:v>Attendance_Sep_2026_Demo.xlsx</x:v>
      </x:c>
      <x:c r="J18" s="39" t="str">
        <x:v>Synthetic</x:v>
      </x:c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9" t="str">
        <x:v>ATT-016</x:v>
      </x:c>
      <x:c r="B19" s="40" t="n">
        <x:v>46292</x:v>
      </x:c>
      <x:c r="C19" s="39" t="str">
        <x:v>September 2026</x:v>
      </x:c>
      <x:c r="D19" s="39" t="str">
        <x:v>Indore Area</x:v>
      </x:c>
      <x:c r="E19" s="39" t="str">
        <x:v>Bicholi Hapsi</x:v>
      </x:c>
      <x:c r="F19" s="46" t="n">
        <x:v>93</x:v>
      </x:c>
      <x:c r="G19" s="39" t="str">
        <x:v>Regular Sunday</x:v>
      </x:c>
      <x:c r="H19" s="39" t="str">
        <x:v>Excel</x:v>
      </x:c>
      <x:c r="I19" s="39" t="str">
        <x:v>Attendance_Sep_2026_Demo.xlsx</x:v>
      </x:c>
      <x:c r="J19" s="39" t="str">
        <x:v>Synthetic</x:v>
      </x:c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9" t="str">
        <x:v>ATT-017</x:v>
      </x:c>
      <x:c r="B20" s="40" t="n">
        <x:v>46271</x:v>
      </x:c>
      <x:c r="C20" s="39" t="str">
        <x:v>September 2026</x:v>
      </x:c>
      <x:c r="D20" s="39" t="str">
        <x:v>Indore Area</x:v>
      </x:c>
      <x:c r="E20" s="39" t="str">
        <x:v>Mayakhedi</x:v>
      </x:c>
      <x:c r="F20" s="46" t="n">
        <x:v>84</x:v>
      </x:c>
      <x:c r="G20" s="39" t="str">
        <x:v>Regular Sunday</x:v>
      </x:c>
      <x:c r="H20" s="39" t="str">
        <x:v>Excel</x:v>
      </x:c>
      <x:c r="I20" s="39" t="str">
        <x:v>Attendance_Sep_2026_Demo.xlsx</x:v>
      </x:c>
      <x:c r="J20" s="39" t="str">
        <x:v>Synthetic</x:v>
      </x:c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9" t="str">
        <x:v>ATT-018</x:v>
      </x:c>
      <x:c r="B21" s="40" t="n">
        <x:v>46278</x:v>
      </x:c>
      <x:c r="C21" s="39" t="str">
        <x:v>September 2026</x:v>
      </x:c>
      <x:c r="D21" s="39" t="str">
        <x:v>Indore Area</x:v>
      </x:c>
      <x:c r="E21" s="39" t="str">
        <x:v>Mayakhedi</x:v>
      </x:c>
      <x:c r="F21" s="46" t="n">
        <x:v>93</x:v>
      </x:c>
      <x:c r="G21" s="39" t="str">
        <x:v>Regular Sunday</x:v>
      </x:c>
      <x:c r="H21" s="39" t="str">
        <x:v>Excel</x:v>
      </x:c>
      <x:c r="I21" s="39" t="str">
        <x:v>Attendance_Sep_2026_Demo.xlsx</x:v>
      </x:c>
      <x:c r="J21" s="39" t="str">
        <x:v>Synthetic</x:v>
      </x:c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9" t="str">
        <x:v>ATT-019</x:v>
      </x:c>
      <x:c r="B22" s="40" t="n">
        <x:v>46285</x:v>
      </x:c>
      <x:c r="C22" s="39" t="str">
        <x:v>September 2026</x:v>
      </x:c>
      <x:c r="D22" s="39" t="str">
        <x:v>Indore Area</x:v>
      </x:c>
      <x:c r="E22" s="39" t="str">
        <x:v>Mayakhedi</x:v>
      </x:c>
      <x:c r="F22" s="46" t="n">
        <x:v>102</x:v>
      </x:c>
      <x:c r="G22" s="39" t="str">
        <x:v>Special Sunday</x:v>
      </x:c>
      <x:c r="H22" s="39" t="str">
        <x:v>Excel</x:v>
      </x:c>
      <x:c r="I22" s="39" t="str">
        <x:v>Attendance_Sep_2026_Demo.xlsx</x:v>
      </x:c>
      <x:c r="J22" s="39" t="str">
        <x:v>Synthetic</x:v>
      </x:c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9" t="str">
        <x:v>ATT-020</x:v>
      </x:c>
      <x:c r="B23" s="40" t="n">
        <x:v>46292</x:v>
      </x:c>
      <x:c r="C23" s="39" t="str">
        <x:v>September 2026</x:v>
      </x:c>
      <x:c r="D23" s="39" t="str">
        <x:v>Indore Area</x:v>
      </x:c>
      <x:c r="E23" s="39" t="str">
        <x:v>Mayakhedi</x:v>
      </x:c>
      <x:c r="F23" s="46" t="n">
        <x:v>102</x:v>
      </x:c>
      <x:c r="G23" s="39" t="str">
        <x:v>Regular Sunday</x:v>
      </x:c>
      <x:c r="H23" s="39" t="str">
        <x:v>Excel</x:v>
      </x:c>
      <x:c r="I23" s="39" t="str">
        <x:v>Attendance_Sep_2026_Demo.xlsx</x:v>
      </x:c>
      <x:c r="J23" s="39" t="str">
        <x:v>Synthetic</x:v>
      </x:c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9" t="str">
        <x:v>ATT-021</x:v>
      </x:c>
      <x:c r="B24" s="40" t="n">
        <x:v>46271</x:v>
      </x:c>
      <x:c r="C24" s="39" t="str">
        <x:v>September 2026</x:v>
      </x:c>
      <x:c r="D24" s="39" t="str">
        <x:v>Indore Area</x:v>
      </x:c>
      <x:c r="E24" s="39" t="str">
        <x:v>Hatod</x:v>
      </x:c>
      <x:c r="F24" s="46" t="n">
        <x:v>101</x:v>
      </x:c>
      <x:c r="G24" s="39" t="str">
        <x:v>Regular Sunday</x:v>
      </x:c>
      <x:c r="H24" s="39" t="str">
        <x:v>Excel</x:v>
      </x:c>
      <x:c r="I24" s="39" t="str">
        <x:v>Attendance_Sep_2026_Demo.xlsx</x:v>
      </x:c>
      <x:c r="J24" s="39" t="str">
        <x:v>Synthetic</x:v>
      </x:c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9" t="str">
        <x:v>ATT-022</x:v>
      </x:c>
      <x:c r="B25" s="40" t="n">
        <x:v>46278</x:v>
      </x:c>
      <x:c r="C25" s="39" t="str">
        <x:v>September 2026</x:v>
      </x:c>
      <x:c r="D25" s="39" t="str">
        <x:v>Indore Area</x:v>
      </x:c>
      <x:c r="E25" s="39" t="str">
        <x:v>Hatod</x:v>
      </x:c>
      <x:c r="F25" s="46" t="n">
        <x:v>110</x:v>
      </x:c>
      <x:c r="G25" s="39" t="str">
        <x:v>Regular Sunday</x:v>
      </x:c>
      <x:c r="H25" s="39" t="str">
        <x:v>Excel</x:v>
      </x:c>
      <x:c r="I25" s="39" t="str">
        <x:v>Attendance_Sep_2026_Demo.xlsx</x:v>
      </x:c>
      <x:c r="J25" s="39" t="str">
        <x:v>Synthetic</x:v>
      </x:c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9" t="str">
        <x:v>ATT-023</x:v>
      </x:c>
      <x:c r="B26" s="40" t="n">
        <x:v>46285</x:v>
      </x:c>
      <x:c r="C26" s="39" t="str">
        <x:v>September 2026</x:v>
      </x:c>
      <x:c r="D26" s="39" t="str">
        <x:v>Indore Area</x:v>
      </x:c>
      <x:c r="E26" s="39" t="str">
        <x:v>Hatod</x:v>
      </x:c>
      <x:c r="F26" s="46" t="n">
        <x:v>110</x:v>
      </x:c>
      <x:c r="G26" s="39" t="str">
        <x:v>Special Sunday</x:v>
      </x:c>
      <x:c r="H26" s="39" t="str">
        <x:v>Excel</x:v>
      </x:c>
      <x:c r="I26" s="39" t="str">
        <x:v>Attendance_Sep_2026_Demo.xlsx</x:v>
      </x:c>
      <x:c r="J26" s="39" t="str">
        <x:v>Synthetic</x:v>
      </x:c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9" t="str">
        <x:v>ATT-024</x:v>
      </x:c>
      <x:c r="B27" s="40" t="n">
        <x:v>46292</x:v>
      </x:c>
      <x:c r="C27" s="39" t="str">
        <x:v>September 2026</x:v>
      </x:c>
      <x:c r="D27" s="39" t="str">
        <x:v>Indore Area</x:v>
      </x:c>
      <x:c r="E27" s="39" t="str">
        <x:v>Hatod</x:v>
      </x:c>
      <x:c r="F27" s="46" t="n">
        <x:v>119</x:v>
      </x:c>
      <x:c r="G27" s="39" t="str">
        <x:v>Regular Sunday</x:v>
      </x:c>
      <x:c r="H27" s="39" t="str">
        <x:v>Excel</x:v>
      </x:c>
      <x:c r="I27" s="39" t="str">
        <x:v>Attendance_Sep_2026_Demo.xlsx</x:v>
      </x:c>
      <x:c r="J27" s="39" t="str">
        <x:v>Synthetic</x:v>
      </x:c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9" t="str">
        <x:v>ATT-025</x:v>
      </x:c>
      <x:c r="B28" s="40" t="n">
        <x:v>46271</x:v>
      </x:c>
      <x:c r="C28" s="39" t="str">
        <x:v>September 2026</x:v>
      </x:c>
      <x:c r="D28" s="39" t="str">
        <x:v>Indore Area</x:v>
      </x:c>
      <x:c r="E28" s="39" t="str">
        <x:v>Ataheda</x:v>
      </x:c>
      <x:c r="F28" s="46" t="n">
        <x:v>120</x:v>
      </x:c>
      <x:c r="G28" s="39" t="str">
        <x:v>Regular Sunday</x:v>
      </x:c>
      <x:c r="H28" s="39" t="str">
        <x:v>Excel</x:v>
      </x:c>
      <x:c r="I28" s="39" t="str">
        <x:v>Attendance_Sep_2026_Demo.xlsx</x:v>
      </x:c>
      <x:c r="J28" s="39" t="str">
        <x:v>Synthetic</x:v>
      </x:c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9" t="str">
        <x:v>ATT-026</x:v>
      </x:c>
      <x:c r="B29" s="40" t="n">
        <x:v>46278</x:v>
      </x:c>
      <x:c r="C29" s="39" t="str">
        <x:v>September 2026</x:v>
      </x:c>
      <x:c r="D29" s="39" t="str">
        <x:v>Indore Area</x:v>
      </x:c>
      <x:c r="E29" s="39" t="str">
        <x:v>Ataheda</x:v>
      </x:c>
      <x:c r="F29" s="46" t="n">
        <x:v>129</x:v>
      </x:c>
      <x:c r="G29" s="39" t="str">
        <x:v>Regular Sunday</x:v>
      </x:c>
      <x:c r="H29" s="39" t="str">
        <x:v>Excel</x:v>
      </x:c>
      <x:c r="I29" s="39" t="str">
        <x:v>Attendance_Sep_2026_Demo.xlsx</x:v>
      </x:c>
      <x:c r="J29" s="39" t="str">
        <x:v>Synthetic</x:v>
      </x:c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9" t="str">
        <x:v>ATT-027</x:v>
      </x:c>
      <x:c r="B30" s="40" t="n">
        <x:v>46285</x:v>
      </x:c>
      <x:c r="C30" s="39" t="str">
        <x:v>September 2026</x:v>
      </x:c>
      <x:c r="D30" s="39" t="str">
        <x:v>Indore Area</x:v>
      </x:c>
      <x:c r="E30" s="39" t="str">
        <x:v>Ataheda</x:v>
      </x:c>
      <x:c r="F30" s="46" t="n">
        <x:v>138</x:v>
      </x:c>
      <x:c r="G30" s="39" t="str">
        <x:v>Special Sunday</x:v>
      </x:c>
      <x:c r="H30" s="39" t="str">
        <x:v>Excel</x:v>
      </x:c>
      <x:c r="I30" s="39" t="str">
        <x:v>Attendance_Sep_2026_Demo.xlsx</x:v>
      </x:c>
      <x:c r="J30" s="39" t="str">
        <x:v>Synthetic</x:v>
      </x:c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9" t="str">
        <x:v>ATT-028</x:v>
      </x:c>
      <x:c r="B31" s="40" t="n">
        <x:v>46292</x:v>
      </x:c>
      <x:c r="C31" s="39" t="str">
        <x:v>September 2026</x:v>
      </x:c>
      <x:c r="D31" s="39" t="str">
        <x:v>Indore Area</x:v>
      </x:c>
      <x:c r="E31" s="39" t="str">
        <x:v>Ataheda</x:v>
      </x:c>
      <x:c r="F31" s="46" t="n">
        <x:v>147</x:v>
      </x:c>
      <x:c r="G31" s="39" t="str">
        <x:v>Regular Sunday</x:v>
      </x:c>
      <x:c r="H31" s="39" t="str">
        <x:v>Excel</x:v>
      </x:c>
      <x:c r="I31" s="39" t="str">
        <x:v>Attendance_Sep_2026_Demo.xlsx</x:v>
      </x:c>
      <x:c r="J31" s="39" t="str">
        <x:v>Synthetic</x:v>
      </x:c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9" t="str">
        <x:v>ATT-029</x:v>
      </x:c>
      <x:c r="B32" s="40" t="n">
        <x:v>46271</x:v>
      </x:c>
      <x:c r="C32" s="39" t="str">
        <x:v>September 2026</x:v>
      </x:c>
      <x:c r="D32" s="39" t="str">
        <x:v>Indore Area</x:v>
      </x:c>
      <x:c r="E32" s="39" t="str">
        <x:v>Birgoda</x:v>
      </x:c>
      <x:c r="F32" s="46" t="n">
        <x:v>60</x:v>
      </x:c>
      <x:c r="G32" s="39" t="str">
        <x:v>Regular Sunday</x:v>
      </x:c>
      <x:c r="H32" s="39" t="str">
        <x:v>Excel</x:v>
      </x:c>
      <x:c r="I32" s="39" t="str">
        <x:v>Attendance_Sep_2026_Demo.xlsx</x:v>
      </x:c>
      <x:c r="J32" s="39" t="str">
        <x:v>Synthetic</x:v>
      </x:c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9" t="str">
        <x:v>ATT-030</x:v>
      </x:c>
      <x:c r="B33" s="40" t="n">
        <x:v>46278</x:v>
      </x:c>
      <x:c r="C33" s="39" t="str">
        <x:v>September 2026</x:v>
      </x:c>
      <x:c r="D33" s="39" t="str">
        <x:v>Indore Area</x:v>
      </x:c>
      <x:c r="E33" s="39" t="str">
        <x:v>Birgoda</x:v>
      </x:c>
      <x:c r="F33" s="46" t="n">
        <x:v>69</x:v>
      </x:c>
      <x:c r="G33" s="39" t="str">
        <x:v>Regular Sunday</x:v>
      </x:c>
      <x:c r="H33" s="39" t="str">
        <x:v>Excel</x:v>
      </x:c>
      <x:c r="I33" s="39" t="str">
        <x:v>Attendance_Sep_2026_Demo.xlsx</x:v>
      </x:c>
      <x:c r="J33" s="39" t="str">
        <x:v>Synthetic</x:v>
      </x:c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9" t="str">
        <x:v>ATT-031</x:v>
      </x:c>
      <x:c r="B34" s="40" t="n">
        <x:v>46285</x:v>
      </x:c>
      <x:c r="C34" s="39" t="str">
        <x:v>September 2026</x:v>
      </x:c>
      <x:c r="D34" s="39" t="str">
        <x:v>Indore Area</x:v>
      </x:c>
      <x:c r="E34" s="39" t="str">
        <x:v>Birgoda</x:v>
      </x:c>
      <x:c r="F34" s="46" t="n">
        <x:v>78</x:v>
      </x:c>
      <x:c r="G34" s="39" t="str">
        <x:v>Special Sunday</x:v>
      </x:c>
      <x:c r="H34" s="39" t="str">
        <x:v>Excel</x:v>
      </x:c>
      <x:c r="I34" s="39" t="str">
        <x:v>Attendance_Sep_2026_Demo.xlsx</x:v>
      </x:c>
      <x:c r="J34" s="39" t="str">
        <x:v>Synthetic</x:v>
      </x:c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9" t="str">
        <x:v>ATT-032</x:v>
      </x:c>
      <x:c r="B35" s="40" t="n">
        <x:v>46292</x:v>
      </x:c>
      <x:c r="C35" s="39" t="str">
        <x:v>September 2026</x:v>
      </x:c>
      <x:c r="D35" s="39" t="str">
        <x:v>Indore Area</x:v>
      </x:c>
      <x:c r="E35" s="39" t="str">
        <x:v>Birgoda</x:v>
      </x:c>
      <x:c r="F35" s="46" t="n">
        <x:v>78</x:v>
      </x:c>
      <x:c r="G35" s="39" t="str">
        <x:v>Regular Sunday</x:v>
      </x:c>
      <x:c r="H35" s="39" t="str">
        <x:v>Excel</x:v>
      </x:c>
      <x:c r="I35" s="39" t="str">
        <x:v>Attendance_Sep_2026_Demo.xlsx</x:v>
      </x:c>
      <x:c r="J35" s="39" t="str">
        <x:v>Synthetic</x:v>
      </x:c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9" t="str">
        <x:v>ATT-033</x:v>
      </x:c>
      <x:c r="B36" s="40" t="n">
        <x:v>46271</x:v>
      </x:c>
      <x:c r="C36" s="39" t="str">
        <x:v>September 2026</x:v>
      </x:c>
      <x:c r="D36" s="39" t="str">
        <x:v>Indore Area</x:v>
      </x:c>
      <x:c r="E36" s="39" t="str">
        <x:v>Chander</x:v>
      </x:c>
      <x:c r="F36" s="46" t="n">
        <x:v>94</x:v>
      </x:c>
      <x:c r="G36" s="39" t="str">
        <x:v>Regular Sunday</x:v>
      </x:c>
      <x:c r="H36" s="39" t="str">
        <x:v>Excel</x:v>
      </x:c>
      <x:c r="I36" s="39" t="str">
        <x:v>Attendance_Sep_2026_Demo.xlsx</x:v>
      </x:c>
      <x:c r="J36" s="39" t="str">
        <x:v>Synthetic</x:v>
      </x:c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9" t="str">
        <x:v>ATT-034</x:v>
      </x:c>
      <x:c r="B37" s="40" t="n">
        <x:v>46278</x:v>
      </x:c>
      <x:c r="C37" s="39" t="str">
        <x:v>September 2026</x:v>
      </x:c>
      <x:c r="D37" s="39" t="str">
        <x:v>Indore Area</x:v>
      </x:c>
      <x:c r="E37" s="39" t="str">
        <x:v>Chander</x:v>
      </x:c>
      <x:c r="F37" s="46" t="n">
        <x:v>103</x:v>
      </x:c>
      <x:c r="G37" s="39" t="str">
        <x:v>Regular Sunday</x:v>
      </x:c>
      <x:c r="H37" s="39" t="str">
        <x:v>Excel</x:v>
      </x:c>
      <x:c r="I37" s="39" t="str">
        <x:v>Attendance_Sep_2026_Demo.xlsx</x:v>
      </x:c>
      <x:c r="J37" s="39" t="str">
        <x:v>Synthetic</x:v>
      </x:c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9" t="str">
        <x:v>ATT-035</x:v>
      </x:c>
      <x:c r="B38" s="40" t="n">
        <x:v>46285</x:v>
      </x:c>
      <x:c r="C38" s="39" t="str">
        <x:v>September 2026</x:v>
      </x:c>
      <x:c r="D38" s="39" t="str">
        <x:v>Indore Area</x:v>
      </x:c>
      <x:c r="E38" s="39" t="str">
        <x:v>Chander</x:v>
      </x:c>
      <x:c r="F38" s="46" t="n">
        <x:v>103</x:v>
      </x:c>
      <x:c r="G38" s="39" t="str">
        <x:v>Special Sunday</x:v>
      </x:c>
      <x:c r="H38" s="39" t="str">
        <x:v>Excel</x:v>
      </x:c>
      <x:c r="I38" s="39" t="str">
        <x:v>Attendance_Sep_2026_Demo.xlsx</x:v>
      </x:c>
      <x:c r="J38" s="39" t="str">
        <x:v>Synthetic</x:v>
      </x:c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9" t="str">
        <x:v>ATT-036</x:v>
      </x:c>
      <x:c r="B39" s="40" t="n">
        <x:v>46292</x:v>
      </x:c>
      <x:c r="C39" s="39" t="str">
        <x:v>September 2026</x:v>
      </x:c>
      <x:c r="D39" s="39" t="str">
        <x:v>Indore Area</x:v>
      </x:c>
      <x:c r="E39" s="39" t="str">
        <x:v>Chander</x:v>
      </x:c>
      <x:c r="F39" s="46" t="n">
        <x:v>112</x:v>
      </x:c>
      <x:c r="G39" s="39" t="str">
        <x:v>Regular Sunday</x:v>
      </x:c>
      <x:c r="H39" s="39" t="str">
        <x:v>Excel</x:v>
      </x:c>
      <x:c r="I39" s="39" t="str">
        <x:v>Attendance_Sep_2026_Demo.xlsx</x:v>
      </x:c>
      <x:c r="J39" s="39" t="str">
        <x:v>Synthetic</x:v>
      </x:c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9" t="str">
        <x:v>ATT-037</x:v>
      </x:c>
      <x:c r="B40" s="40" t="n">
        <x:v>46271</x:v>
      </x:c>
      <x:c r="C40" s="39" t="str">
        <x:v>September 2026</x:v>
      </x:c>
      <x:c r="D40" s="39" t="str">
        <x:v>Indore Area</x:v>
      </x:c>
      <x:c r="E40" s="39" t="str">
        <x:v>Semda</x:v>
      </x:c>
      <x:c r="F40" s="46" t="n">
        <x:v>101</x:v>
      </x:c>
      <x:c r="G40" s="39" t="str">
        <x:v>Regular Sunday</x:v>
      </x:c>
      <x:c r="H40" s="39" t="str">
        <x:v>Excel</x:v>
      </x:c>
      <x:c r="I40" s="39" t="str">
        <x:v>Attendance_Sep_2026_Demo.xlsx</x:v>
      </x:c>
      <x:c r="J40" s="39" t="str">
        <x:v>Synthetic</x:v>
      </x:c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9" t="str">
        <x:v>ATT-038</x:v>
      </x:c>
      <x:c r="B41" s="40" t="n">
        <x:v>46278</x:v>
      </x:c>
      <x:c r="C41" s="39" t="str">
        <x:v>September 2026</x:v>
      </x:c>
      <x:c r="D41" s="39" t="str">
        <x:v>Indore Area</x:v>
      </x:c>
      <x:c r="E41" s="39" t="str">
        <x:v>Semda</x:v>
      </x:c>
      <x:c r="F41" s="46" t="n">
        <x:v>110</x:v>
      </x:c>
      <x:c r="G41" s="39" t="str">
        <x:v>Regular Sunday</x:v>
      </x:c>
      <x:c r="H41" s="39" t="str">
        <x:v>Excel</x:v>
      </x:c>
      <x:c r="I41" s="39" t="str">
        <x:v>Attendance_Sep_2026_Demo.xlsx</x:v>
      </x:c>
      <x:c r="J41" s="39" t="str">
        <x:v>Synthetic</x:v>
      </x:c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9" t="str">
        <x:v>ATT-039</x:v>
      </x:c>
      <x:c r="B42" s="40" t="n">
        <x:v>46285</x:v>
      </x:c>
      <x:c r="C42" s="39" t="str">
        <x:v>September 2026</x:v>
      </x:c>
      <x:c r="D42" s="39" t="str">
        <x:v>Indore Area</x:v>
      </x:c>
      <x:c r="E42" s="39" t="str">
        <x:v>Semda</x:v>
      </x:c>
      <x:c r="F42" s="46" t="n">
        <x:v>119</x:v>
      </x:c>
      <x:c r="G42" s="39" t="str">
        <x:v>Special Sunday</x:v>
      </x:c>
      <x:c r="H42" s="39" t="str">
        <x:v>Excel</x:v>
      </x:c>
      <x:c r="I42" s="39" t="str">
        <x:v>Attendance_Sep_2026_Demo.xlsx</x:v>
      </x:c>
      <x:c r="J42" s="39" t="str">
        <x:v>Synthetic</x:v>
      </x:c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9" t="str">
        <x:v>ATT-040</x:v>
      </x:c>
      <x:c r="B43" s="40" t="n">
        <x:v>46292</x:v>
      </x:c>
      <x:c r="C43" s="39" t="str">
        <x:v>September 2026</x:v>
      </x:c>
      <x:c r="D43" s="39" t="str">
        <x:v>Indore Area</x:v>
      </x:c>
      <x:c r="E43" s="39" t="str">
        <x:v>Semda</x:v>
      </x:c>
      <x:c r="F43" s="46" t="n">
        <x:v>128</x:v>
      </x:c>
      <x:c r="G43" s="39" t="str">
        <x:v>Regular Sunday</x:v>
      </x:c>
      <x:c r="H43" s="39" t="str">
        <x:v>Excel</x:v>
      </x:c>
      <x:c r="I43" s="39" t="str">
        <x:v>Attendance_Sep_2026_Demo.xlsx</x:v>
      </x:c>
      <x:c r="J43" s="39" t="str">
        <x:v>Synthetic</x:v>
      </x:c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9" t="str">
        <x:v>ATT-041</x:v>
      </x:c>
      <x:c r="B44" s="40" t="n">
        <x:v>46271</x:v>
      </x:c>
      <x:c r="C44" s="39" t="str">
        <x:v>September 2026</x:v>
      </x:c>
      <x:c r="D44" s="39" t="str">
        <x:v>Indore Area</x:v>
      </x:c>
      <x:c r="E44" s="39" t="str">
        <x:v>Kalaria</x:v>
      </x:c>
      <x:c r="F44" s="46" t="n">
        <x:v>72</x:v>
      </x:c>
      <x:c r="G44" s="39" t="str">
        <x:v>Regular Sunday</x:v>
      </x:c>
      <x:c r="H44" s="39" t="str">
        <x:v>Excel</x:v>
      </x:c>
      <x:c r="I44" s="39" t="str">
        <x:v>Attendance_Sep_2026_Demo.xlsx</x:v>
      </x:c>
      <x:c r="J44" s="39" t="str">
        <x:v>Synthetic</x:v>
      </x:c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9" t="str">
        <x:v>ATT-042</x:v>
      </x:c>
      <x:c r="B45" s="40" t="n">
        <x:v>46278</x:v>
      </x:c>
      <x:c r="C45" s="39" t="str">
        <x:v>September 2026</x:v>
      </x:c>
      <x:c r="D45" s="39" t="str">
        <x:v>Indore Area</x:v>
      </x:c>
      <x:c r="E45" s="39" t="str">
        <x:v>Kalaria</x:v>
      </x:c>
      <x:c r="F45" s="46" t="n">
        <x:v>81</x:v>
      </x:c>
      <x:c r="G45" s="39" t="str">
        <x:v>Regular Sunday</x:v>
      </x:c>
      <x:c r="H45" s="39" t="str">
        <x:v>Excel</x:v>
      </x:c>
      <x:c r="I45" s="39" t="str">
        <x:v>Attendance_Sep_2026_Demo.xlsx</x:v>
      </x:c>
      <x:c r="J45" s="39" t="str">
        <x:v>Synthetic</x:v>
      </x:c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9" t="str">
        <x:v>ATT-043</x:v>
      </x:c>
      <x:c r="B46" s="40" t="n">
        <x:v>46285</x:v>
      </x:c>
      <x:c r="C46" s="39" t="str">
        <x:v>September 2026</x:v>
      </x:c>
      <x:c r="D46" s="39" t="str">
        <x:v>Indore Area</x:v>
      </x:c>
      <x:c r="E46" s="39" t="str">
        <x:v>Kalaria</x:v>
      </x:c>
      <x:c r="F46" s="46" t="n">
        <x:v>90</x:v>
      </x:c>
      <x:c r="G46" s="39" t="str">
        <x:v>Special Sunday</x:v>
      </x:c>
      <x:c r="H46" s="39" t="str">
        <x:v>Excel</x:v>
      </x:c>
      <x:c r="I46" s="39" t="str">
        <x:v>Attendance_Sep_2026_Demo.xlsx</x:v>
      </x:c>
      <x:c r="J46" s="39" t="str">
        <x:v>Synthetic</x:v>
      </x:c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9" t="str">
        <x:v>ATT-044</x:v>
      </x:c>
      <x:c r="B47" s="40" t="n">
        <x:v>46292</x:v>
      </x:c>
      <x:c r="C47" s="39" t="str">
        <x:v>September 2026</x:v>
      </x:c>
      <x:c r="D47" s="39" t="str">
        <x:v>Indore Area</x:v>
      </x:c>
      <x:c r="E47" s="39" t="str">
        <x:v>Kalaria</x:v>
      </x:c>
      <x:c r="F47" s="46" t="n">
        <x:v>90</x:v>
      </x:c>
      <x:c r="G47" s="39" t="str">
        <x:v>Regular Sunday</x:v>
      </x:c>
      <x:c r="H47" s="39" t="str">
        <x:v>Excel</x:v>
      </x:c>
      <x:c r="I47" s="39" t="str">
        <x:v>Attendance_Sep_2026_Demo.xlsx</x:v>
      </x:c>
      <x:c r="J47" s="39" t="str">
        <x:v>Synthetic</x:v>
      </x:c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9" t="str">
        <x:v>ATT-045</x:v>
      </x:c>
      <x:c r="B48" s="40" t="n">
        <x:v>46271</x:v>
      </x:c>
      <x:c r="C48" s="39" t="str">
        <x:v>September 2026</x:v>
      </x:c>
      <x:c r="D48" s="39" t="str">
        <x:v>Indore Area</x:v>
      </x:c>
      <x:c r="E48" s="39" t="str">
        <x:v>Betma</x:v>
      </x:c>
      <x:c r="F48" s="46" t="n">
        <x:v>116</x:v>
      </x:c>
      <x:c r="G48" s="39" t="str">
        <x:v>Regular Sunday</x:v>
      </x:c>
      <x:c r="H48" s="39" t="str">
        <x:v>Excel</x:v>
      </x:c>
      <x:c r="I48" s="39" t="str">
        <x:v>Attendance_Sep_2026_Demo.xlsx</x:v>
      </x:c>
      <x:c r="J48" s="39" t="str">
        <x:v>Synthetic</x:v>
      </x:c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9" t="str">
        <x:v>ATT-046</x:v>
      </x:c>
      <x:c r="B49" s="40" t="n">
        <x:v>46278</x:v>
      </x:c>
      <x:c r="C49" s="39" t="str">
        <x:v>September 2026</x:v>
      </x:c>
      <x:c r="D49" s="39" t="str">
        <x:v>Indore Area</x:v>
      </x:c>
      <x:c r="E49" s="39" t="str">
        <x:v>Betma</x:v>
      </x:c>
      <x:c r="F49" s="46" t="n">
        <x:v>125</x:v>
      </x:c>
      <x:c r="G49" s="39" t="str">
        <x:v>Regular Sunday</x:v>
      </x:c>
      <x:c r="H49" s="39" t="str">
        <x:v>Excel</x:v>
      </x:c>
      <x:c r="I49" s="39" t="str">
        <x:v>Attendance_Sep_2026_Demo.xlsx</x:v>
      </x:c>
      <x:c r="J49" s="39" t="str">
        <x:v>Synthetic</x:v>
      </x:c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9" t="str">
        <x:v>ATT-047</x:v>
      </x:c>
      <x:c r="B50" s="40" t="n">
        <x:v>46285</x:v>
      </x:c>
      <x:c r="C50" s="39" t="str">
        <x:v>September 2026</x:v>
      </x:c>
      <x:c r="D50" s="39" t="str">
        <x:v>Indore Area</x:v>
      </x:c>
      <x:c r="E50" s="39" t="str">
        <x:v>Betma</x:v>
      </x:c>
      <x:c r="F50" s="46" t="n">
        <x:v>125</x:v>
      </x:c>
      <x:c r="G50" s="39" t="str">
        <x:v>Special Sunday</x:v>
      </x:c>
      <x:c r="H50" s="39" t="str">
        <x:v>Excel</x:v>
      </x:c>
      <x:c r="I50" s="39" t="str">
        <x:v>Attendance_Sep_2026_Demo.xlsx</x:v>
      </x:c>
      <x:c r="J50" s="39" t="str">
        <x:v>Synthetic</x:v>
      </x:c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9" t="str">
        <x:v>ATT-048</x:v>
      </x:c>
      <x:c r="B51" s="40" t="n">
        <x:v>46292</x:v>
      </x:c>
      <x:c r="C51" s="39" t="str">
        <x:v>September 2026</x:v>
      </x:c>
      <x:c r="D51" s="39" t="str">
        <x:v>Indore Area</x:v>
      </x:c>
      <x:c r="E51" s="39" t="str">
        <x:v>Betma</x:v>
      </x:c>
      <x:c r="F51" s="46" t="n">
        <x:v>134</x:v>
      </x:c>
      <x:c r="G51" s="39" t="str">
        <x:v>Regular Sunday</x:v>
      </x:c>
      <x:c r="H51" s="39" t="str">
        <x:v>Excel</x:v>
      </x:c>
      <x:c r="I51" s="39" t="str">
        <x:v>Attendance_Sep_2026_Demo.xlsx</x:v>
      </x:c>
      <x:c r="J51" s="39" t="str">
        <x:v>Synthetic</x:v>
      </x:c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9" t="str">
        <x:v>ATT-049</x:v>
      </x:c>
      <x:c r="B52" s="40" t="n">
        <x:v>46271</x:v>
      </x:c>
      <x:c r="C52" s="39" t="str">
        <x:v>September 2026</x:v>
      </x:c>
      <x:c r="D52" s="39" t="str">
        <x:v>Indore Area</x:v>
      </x:c>
      <x:c r="E52" s="39" t="str">
        <x:v>Semliyachau</x:v>
      </x:c>
      <x:c r="F52" s="46" t="n">
        <x:v>77</x:v>
      </x:c>
      <x:c r="G52" s="39" t="str">
        <x:v>Regular Sunday</x:v>
      </x:c>
      <x:c r="H52" s="39" t="str">
        <x:v>Excel</x:v>
      </x:c>
      <x:c r="I52" s="39" t="str">
        <x:v>Attendance_Sep_2026_Demo.xlsx</x:v>
      </x:c>
      <x:c r="J52" s="39" t="str">
        <x:v>Synthetic</x:v>
      </x:c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9" t="str">
        <x:v>ATT-050</x:v>
      </x:c>
      <x:c r="B53" s="40" t="n">
        <x:v>46278</x:v>
      </x:c>
      <x:c r="C53" s="39" t="str">
        <x:v>September 2026</x:v>
      </x:c>
      <x:c r="D53" s="39" t="str">
        <x:v>Indore Area</x:v>
      </x:c>
      <x:c r="E53" s="39" t="str">
        <x:v>Semliyachau</x:v>
      </x:c>
      <x:c r="F53" s="46" t="n">
        <x:v>86</x:v>
      </x:c>
      <x:c r="G53" s="39" t="str">
        <x:v>Regular Sunday</x:v>
      </x:c>
      <x:c r="H53" s="39" t="str">
        <x:v>Excel</x:v>
      </x:c>
      <x:c r="I53" s="39" t="str">
        <x:v>Attendance_Sep_2026_Demo.xlsx</x:v>
      </x:c>
      <x:c r="J53" s="39" t="str">
        <x:v>Synthetic</x:v>
      </x:c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9" t="str">
        <x:v>ATT-051</x:v>
      </x:c>
      <x:c r="B54" s="40" t="n">
        <x:v>46285</x:v>
      </x:c>
      <x:c r="C54" s="39" t="str">
        <x:v>September 2026</x:v>
      </x:c>
      <x:c r="D54" s="39" t="str">
        <x:v>Indore Area</x:v>
      </x:c>
      <x:c r="E54" s="39" t="str">
        <x:v>Semliyachau</x:v>
      </x:c>
      <x:c r="F54" s="46" t="n">
        <x:v>95</x:v>
      </x:c>
      <x:c r="G54" s="39" t="str">
        <x:v>Special Sunday</x:v>
      </x:c>
      <x:c r="H54" s="39" t="str">
        <x:v>Excel</x:v>
      </x:c>
      <x:c r="I54" s="39" t="str">
        <x:v>Attendance_Sep_2026_Demo.xlsx</x:v>
      </x:c>
      <x:c r="J54" s="39" t="str">
        <x:v>Synthetic</x:v>
      </x:c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9" t="str">
        <x:v>ATT-052</x:v>
      </x:c>
      <x:c r="B55" s="40" t="n">
        <x:v>46292</x:v>
      </x:c>
      <x:c r="C55" s="39" t="str">
        <x:v>September 2026</x:v>
      </x:c>
      <x:c r="D55" s="39" t="str">
        <x:v>Indore Area</x:v>
      </x:c>
      <x:c r="E55" s="39" t="str">
        <x:v>Semliyachau</x:v>
      </x:c>
      <x:c r="F55" s="46" t="n">
        <x:v>104</x:v>
      </x:c>
      <x:c r="G55" s="39" t="str">
        <x:v>Regular Sunday</x:v>
      </x:c>
      <x:c r="H55" s="39" t="str">
        <x:v>Excel</x:v>
      </x:c>
      <x:c r="I55" s="39" t="str">
        <x:v>Attendance_Sep_2026_Demo.xlsx</x:v>
      </x:c>
      <x:c r="J55" s="39" t="str">
        <x:v>Synthetic</x:v>
      </x:c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9" t="str">
        <x:v>ATT-053</x:v>
      </x:c>
      <x:c r="B56" s="40" t="n">
        <x:v>46271</x:v>
      </x:c>
      <x:c r="C56" s="39" t="str">
        <x:v>September 2026</x:v>
      </x:c>
      <x:c r="D56" s="39" t="str">
        <x:v>Indore Area</x:v>
      </x:c>
      <x:c r="E56" s="39" t="str">
        <x:v>Tarana</x:v>
      </x:c>
      <x:c r="F56" s="46" t="n">
        <x:v>87</x:v>
      </x:c>
      <x:c r="G56" s="39" t="str">
        <x:v>Regular Sunday</x:v>
      </x:c>
      <x:c r="H56" s="39" t="str">
        <x:v>Excel</x:v>
      </x:c>
      <x:c r="I56" s="39" t="str">
        <x:v>Attendance_Sep_2026_Demo.xlsx</x:v>
      </x:c>
      <x:c r="J56" s="39" t="str">
        <x:v>Synthetic</x:v>
      </x:c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9" t="str">
        <x:v>ATT-054</x:v>
      </x:c>
      <x:c r="B57" s="40" t="n">
        <x:v>46278</x:v>
      </x:c>
      <x:c r="C57" s="39" t="str">
        <x:v>September 2026</x:v>
      </x:c>
      <x:c r="D57" s="39" t="str">
        <x:v>Indore Area</x:v>
      </x:c>
      <x:c r="E57" s="39" t="str">
        <x:v>Tarana</x:v>
      </x:c>
      <x:c r="F57" s="46" t="n">
        <x:v>96</x:v>
      </x:c>
      <x:c r="G57" s="39" t="str">
        <x:v>Regular Sunday</x:v>
      </x:c>
      <x:c r="H57" s="39" t="str">
        <x:v>Excel</x:v>
      </x:c>
      <x:c r="I57" s="39" t="str">
        <x:v>Attendance_Sep_2026_Demo.xlsx</x:v>
      </x:c>
      <x:c r="J57" s="39" t="str">
        <x:v>Synthetic</x:v>
      </x:c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9" t="str">
        <x:v>ATT-055</x:v>
      </x:c>
      <x:c r="B58" s="40" t="n">
        <x:v>46285</x:v>
      </x:c>
      <x:c r="C58" s="39" t="str">
        <x:v>September 2026</x:v>
      </x:c>
      <x:c r="D58" s="39" t="str">
        <x:v>Indore Area</x:v>
      </x:c>
      <x:c r="E58" s="39" t="str">
        <x:v>Tarana</x:v>
      </x:c>
      <x:c r="F58" s="46" t="n">
        <x:v>105</x:v>
      </x:c>
      <x:c r="G58" s="39" t="str">
        <x:v>Special Sunday</x:v>
      </x:c>
      <x:c r="H58" s="39" t="str">
        <x:v>Excel</x:v>
      </x:c>
      <x:c r="I58" s="39" t="str">
        <x:v>Attendance_Sep_2026_Demo.xlsx</x:v>
      </x:c>
      <x:c r="J58" s="39" t="str">
        <x:v>Synthetic</x:v>
      </x:c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9" t="str">
        <x:v>ATT-056</x:v>
      </x:c>
      <x:c r="B59" s="40" t="n">
        <x:v>46292</x:v>
      </x:c>
      <x:c r="C59" s="39" t="str">
        <x:v>September 2026</x:v>
      </x:c>
      <x:c r="D59" s="39" t="str">
        <x:v>Indore Area</x:v>
      </x:c>
      <x:c r="E59" s="39" t="str">
        <x:v>Tarana</x:v>
      </x:c>
      <x:c r="F59" s="46" t="n">
        <x:v>105</x:v>
      </x:c>
      <x:c r="G59" s="39" t="str">
        <x:v>Regular Sunday</x:v>
      </x:c>
      <x:c r="H59" s="39" t="str">
        <x:v>Excel</x:v>
      </x:c>
      <x:c r="I59" s="39" t="str">
        <x:v>Attendance_Sep_2026_Demo.xlsx</x:v>
      </x:c>
      <x:c r="J59" s="39" t="str">
        <x:v>Synthetic</x:v>
      </x:c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9" t="str">
        <x:v>ATT-057</x:v>
      </x:c>
      <x:c r="B60" s="40" t="n">
        <x:v>46271</x:v>
      </x:c>
      <x:c r="C60" s="39" t="str">
        <x:v>September 2026</x:v>
      </x:c>
      <x:c r="D60" s="39" t="str">
        <x:v>Indore Area</x:v>
      </x:c>
      <x:c r="E60" s="39" t="str">
        <x:v>Badodia Khan</x:v>
      </x:c>
      <x:c r="F60" s="46" t="n">
        <x:v>138</x:v>
      </x:c>
      <x:c r="G60" s="39" t="str">
        <x:v>Regular Sunday</x:v>
      </x:c>
      <x:c r="H60" s="39" t="str">
        <x:v>Excel</x:v>
      </x:c>
      <x:c r="I60" s="39" t="str">
        <x:v>Attendance_Sep_2026_Demo.xlsx</x:v>
      </x:c>
      <x:c r="J60" s="39" t="str">
        <x:v>Synthetic</x:v>
      </x:c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9" t="str">
        <x:v>ATT-058</x:v>
      </x:c>
      <x:c r="B61" s="40" t="n">
        <x:v>46278</x:v>
      </x:c>
      <x:c r="C61" s="39" t="str">
        <x:v>September 2026</x:v>
      </x:c>
      <x:c r="D61" s="39" t="str">
        <x:v>Indore Area</x:v>
      </x:c>
      <x:c r="E61" s="39" t="str">
        <x:v>Badodia Khan</x:v>
      </x:c>
      <x:c r="F61" s="46" t="n">
        <x:v>147</x:v>
      </x:c>
      <x:c r="G61" s="39" t="str">
        <x:v>Regular Sunday</x:v>
      </x:c>
      <x:c r="H61" s="39" t="str">
        <x:v>Excel</x:v>
      </x:c>
      <x:c r="I61" s="39" t="str">
        <x:v>Attendance_Sep_2026_Demo.xlsx</x:v>
      </x:c>
      <x:c r="J61" s="39" t="str">
        <x:v>Synthetic</x:v>
      </x:c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9" t="str">
        <x:v>ATT-059</x:v>
      </x:c>
      <x:c r="B62" s="40" t="n">
        <x:v>46285</x:v>
      </x:c>
      <x:c r="C62" s="39" t="str">
        <x:v>September 2026</x:v>
      </x:c>
      <x:c r="D62" s="39" t="str">
        <x:v>Indore Area</x:v>
      </x:c>
      <x:c r="E62" s="39" t="str">
        <x:v>Badodia Khan</x:v>
      </x:c>
      <x:c r="F62" s="46" t="n">
        <x:v>147</x:v>
      </x:c>
      <x:c r="G62" s="39" t="str">
        <x:v>Special Sunday</x:v>
      </x:c>
      <x:c r="H62" s="39" t="str">
        <x:v>Excel</x:v>
      </x:c>
      <x:c r="I62" s="39" t="str">
        <x:v>Attendance_Sep_2026_Demo.xlsx</x:v>
      </x:c>
      <x:c r="J62" s="39" t="str">
        <x:v>Synthetic</x:v>
      </x:c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9" t="str">
        <x:v>ATT-060</x:v>
      </x:c>
      <x:c r="B63" s="40" t="n">
        <x:v>46292</x:v>
      </x:c>
      <x:c r="C63" s="39" t="str">
        <x:v>September 2026</x:v>
      </x:c>
      <x:c r="D63" s="39" t="str">
        <x:v>Indore Area</x:v>
      </x:c>
      <x:c r="E63" s="39" t="str">
        <x:v>Badodia Khan</x:v>
      </x:c>
      <x:c r="F63" s="46" t="n">
        <x:v>156</x:v>
      </x:c>
      <x:c r="G63" s="39" t="str">
        <x:v>Regular Sunday</x:v>
      </x:c>
      <x:c r="H63" s="39" t="str">
        <x:v>Excel</x:v>
      </x:c>
      <x:c r="I63" s="39" t="str">
        <x:v>Attendance_Sep_2026_Demo.xlsx</x:v>
      </x:c>
      <x:c r="J63" s="39" t="str">
        <x:v>Synthetic</x:v>
      </x:c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9" t="str">
        <x:v>ATT-061</x:v>
      </x:c>
      <x:c r="B64" s="40" t="n">
        <x:v>46271</x:v>
      </x:c>
      <x:c r="C64" s="39" t="str">
        <x:v>September 2026</x:v>
      </x:c>
      <x:c r="D64" s="39" t="str">
        <x:v>Indore Area</x:v>
      </x:c>
      <x:c r="E64" s="39" t="str">
        <x:v>Ajnod</x:v>
      </x:c>
      <x:c r="F64" s="46" t="n">
        <x:v>61</x:v>
      </x:c>
      <x:c r="G64" s="39" t="str">
        <x:v>Regular Sunday</x:v>
      </x:c>
      <x:c r="H64" s="39" t="str">
        <x:v>Excel</x:v>
      </x:c>
      <x:c r="I64" s="39" t="str">
        <x:v>Attendance_Sep_2026_Demo.xlsx</x:v>
      </x:c>
      <x:c r="J64" s="39" t="str">
        <x:v>Synthetic</x:v>
      </x:c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9" t="str">
        <x:v>ATT-062</x:v>
      </x:c>
      <x:c r="B65" s="40" t="n">
        <x:v>46278</x:v>
      </x:c>
      <x:c r="C65" s="39" t="str">
        <x:v>September 2026</x:v>
      </x:c>
      <x:c r="D65" s="39" t="str">
        <x:v>Indore Area</x:v>
      </x:c>
      <x:c r="E65" s="39" t="str">
        <x:v>Ajnod</x:v>
      </x:c>
      <x:c r="F65" s="46" t="n">
        <x:v>70</x:v>
      </x:c>
      <x:c r="G65" s="39" t="str">
        <x:v>Regular Sunday</x:v>
      </x:c>
      <x:c r="H65" s="39" t="str">
        <x:v>Excel</x:v>
      </x:c>
      <x:c r="I65" s="39" t="str">
        <x:v>Attendance_Sep_2026_Demo.xlsx</x:v>
      </x:c>
      <x:c r="J65" s="39" t="str">
        <x:v>Synthetic</x:v>
      </x:c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9" t="str">
        <x:v>ATT-063</x:v>
      </x:c>
      <x:c r="B66" s="40" t="n">
        <x:v>46285</x:v>
      </x:c>
      <x:c r="C66" s="39" t="str">
        <x:v>September 2026</x:v>
      </x:c>
      <x:c r="D66" s="39" t="str">
        <x:v>Indore Area</x:v>
      </x:c>
      <x:c r="E66" s="39" t="str">
        <x:v>Ajnod</x:v>
      </x:c>
      <x:c r="F66" s="46" t="n">
        <x:v>79</x:v>
      </x:c>
      <x:c r="G66" s="39" t="str">
        <x:v>Special Sunday</x:v>
      </x:c>
      <x:c r="H66" s="39" t="str">
        <x:v>Excel</x:v>
      </x:c>
      <x:c r="I66" s="39" t="str">
        <x:v>Attendance_Sep_2026_Demo.xlsx</x:v>
      </x:c>
      <x:c r="J66" s="39" t="str">
        <x:v>Synthetic</x:v>
      </x:c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9" t="str">
        <x:v>ATT-064</x:v>
      </x:c>
      <x:c r="B67" s="40" t="n">
        <x:v>46292</x:v>
      </x:c>
      <x:c r="C67" s="39" t="str">
        <x:v>September 2026</x:v>
      </x:c>
      <x:c r="D67" s="39" t="str">
        <x:v>Indore Area</x:v>
      </x:c>
      <x:c r="E67" s="39" t="str">
        <x:v>Ajnod</x:v>
      </x:c>
      <x:c r="F67" s="46" t="n">
        <x:v>88</x:v>
      </x:c>
      <x:c r="G67" s="39" t="str">
        <x:v>Regular Sunday</x:v>
      </x:c>
      <x:c r="H67" s="39" t="str">
        <x:v>Excel</x:v>
      </x:c>
      <x:c r="I67" s="39" t="str">
        <x:v>Attendance_Sep_2026_Demo.xlsx</x:v>
      </x:c>
      <x:c r="J67" s="39" t="str">
        <x:v>Synthetic</x:v>
      </x:c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9" t="str">
        <x:v>ATT-065</x:v>
      </x:c>
      <x:c r="B68" s="40" t="n">
        <x:v>46271</x:v>
      </x:c>
      <x:c r="C68" s="39" t="str">
        <x:v>September 2026</x:v>
      </x:c>
      <x:c r="D68" s="39" t="str">
        <x:v>Indore Area</x:v>
      </x:c>
      <x:c r="E68" s="39" t="str">
        <x:v>Takun</x:v>
      </x:c>
      <x:c r="F68" s="46" t="n">
        <x:v>76</x:v>
      </x:c>
      <x:c r="G68" s="39" t="str">
        <x:v>Regular Sunday</x:v>
      </x:c>
      <x:c r="H68" s="39" t="str">
        <x:v>Excel</x:v>
      </x:c>
      <x:c r="I68" s="39" t="str">
        <x:v>Attendance_Sep_2026_Demo.xlsx</x:v>
      </x:c>
      <x:c r="J68" s="39" t="str">
        <x:v>Synthetic</x:v>
      </x:c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9" t="str">
        <x:v>ATT-066</x:v>
      </x:c>
      <x:c r="B69" s="40" t="n">
        <x:v>46278</x:v>
      </x:c>
      <x:c r="C69" s="39" t="str">
        <x:v>September 2026</x:v>
      </x:c>
      <x:c r="D69" s="39" t="str">
        <x:v>Indore Area</x:v>
      </x:c>
      <x:c r="E69" s="39" t="str">
        <x:v>Takun</x:v>
      </x:c>
      <x:c r="F69" s="46" t="n">
        <x:v>85</x:v>
      </x:c>
      <x:c r="G69" s="39" t="str">
        <x:v>Regular Sunday</x:v>
      </x:c>
      <x:c r="H69" s="39" t="str">
        <x:v>Excel</x:v>
      </x:c>
      <x:c r="I69" s="39" t="str">
        <x:v>Attendance_Sep_2026_Demo.xlsx</x:v>
      </x:c>
      <x:c r="J69" s="39" t="str">
        <x:v>Synthetic</x:v>
      </x:c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9" t="str">
        <x:v>ATT-067</x:v>
      </x:c>
      <x:c r="B70" s="40" t="n">
        <x:v>46285</x:v>
      </x:c>
      <x:c r="C70" s="39" t="str">
        <x:v>September 2026</x:v>
      </x:c>
      <x:c r="D70" s="39" t="str">
        <x:v>Indore Area</x:v>
      </x:c>
      <x:c r="E70" s="39" t="str">
        <x:v>Takun</x:v>
      </x:c>
      <x:c r="F70" s="46" t="n">
        <x:v>94</x:v>
      </x:c>
      <x:c r="G70" s="39" t="str">
        <x:v>Special Sunday</x:v>
      </x:c>
      <x:c r="H70" s="39" t="str">
        <x:v>Excel</x:v>
      </x:c>
      <x:c r="I70" s="39" t="str">
        <x:v>Attendance_Sep_2026_Demo.xlsx</x:v>
      </x:c>
      <x:c r="J70" s="39" t="str">
        <x:v>Synthetic</x:v>
      </x:c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9" t="str">
        <x:v>ATT-068</x:v>
      </x:c>
      <x:c r="B71" s="40" t="n">
        <x:v>46292</x:v>
      </x:c>
      <x:c r="C71" s="39" t="str">
        <x:v>September 2026</x:v>
      </x:c>
      <x:c r="D71" s="39" t="str">
        <x:v>Indore Area</x:v>
      </x:c>
      <x:c r="E71" s="39" t="str">
        <x:v>Takun</x:v>
      </x:c>
      <x:c r="F71" s="46" t="n">
        <x:v>94</x:v>
      </x:c>
      <x:c r="G71" s="39" t="str">
        <x:v>Regular Sunday</x:v>
      </x:c>
      <x:c r="H71" s="39" t="str">
        <x:v>Excel</x:v>
      </x:c>
      <x:c r="I71" s="39" t="str">
        <x:v>Attendance_Sep_2026_Demo.xlsx</x:v>
      </x:c>
      <x:c r="J71" s="39" t="str">
        <x:v>Synthetic</x:v>
      </x:c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9" t="str">
        <x:v>ATT-069</x:v>
      </x:c>
      <x:c r="B72" s="40" t="n">
        <x:v>46271</x:v>
      </x:c>
      <x:c r="C72" s="39" t="str">
        <x:v>September 2026</x:v>
      </x:c>
      <x:c r="D72" s="39" t="str">
        <x:v>Indore Area</x:v>
      </x:c>
      <x:c r="E72" s="39" t="str">
        <x:v>Potlod</x:v>
      </x:c>
      <x:c r="F72" s="46" t="n">
        <x:v>105</x:v>
      </x:c>
      <x:c r="G72" s="39" t="str">
        <x:v>Regular Sunday</x:v>
      </x:c>
      <x:c r="H72" s="39" t="str">
        <x:v>Excel</x:v>
      </x:c>
      <x:c r="I72" s="39" t="str">
        <x:v>Attendance_Sep_2026_Demo.xlsx</x:v>
      </x:c>
      <x:c r="J72" s="39" t="str">
        <x:v>Synthetic</x:v>
      </x:c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9" t="str">
        <x:v>ATT-070</x:v>
      </x:c>
      <x:c r="B73" s="40" t="n">
        <x:v>46278</x:v>
      </x:c>
      <x:c r="C73" s="39" t="str">
        <x:v>September 2026</x:v>
      </x:c>
      <x:c r="D73" s="39" t="str">
        <x:v>Indore Area</x:v>
      </x:c>
      <x:c r="E73" s="39" t="str">
        <x:v>Potlod</x:v>
      </x:c>
      <x:c r="F73" s="46" t="n">
        <x:v>114</x:v>
      </x:c>
      <x:c r="G73" s="39" t="str">
        <x:v>Regular Sunday</x:v>
      </x:c>
      <x:c r="H73" s="39" t="str">
        <x:v>Excel</x:v>
      </x:c>
      <x:c r="I73" s="39" t="str">
        <x:v>Attendance_Sep_2026_Demo.xlsx</x:v>
      </x:c>
      <x:c r="J73" s="39" t="str">
        <x:v>Synthetic</x:v>
      </x:c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9" t="str">
        <x:v>ATT-071</x:v>
      </x:c>
      <x:c r="B74" s="40" t="n">
        <x:v>46285</x:v>
      </x:c>
      <x:c r="C74" s="39" t="str">
        <x:v>September 2026</x:v>
      </x:c>
      <x:c r="D74" s="39" t="str">
        <x:v>Indore Area</x:v>
      </x:c>
      <x:c r="E74" s="39" t="str">
        <x:v>Potlod</x:v>
      </x:c>
      <x:c r="F74" s="46" t="n">
        <x:v>114</x:v>
      </x:c>
      <x:c r="G74" s="39" t="str">
        <x:v>Special Sunday</x:v>
      </x:c>
      <x:c r="H74" s="39" t="str">
        <x:v>Excel</x:v>
      </x:c>
      <x:c r="I74" s="39" t="str">
        <x:v>Attendance_Sep_2026_Demo.xlsx</x:v>
      </x:c>
      <x:c r="J74" s="39" t="str">
        <x:v>Synthetic</x:v>
      </x:c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9" t="str">
        <x:v>ATT-072</x:v>
      </x:c>
      <x:c r="B75" s="40" t="n">
        <x:v>46292</x:v>
      </x:c>
      <x:c r="C75" s="39" t="str">
        <x:v>September 2026</x:v>
      </x:c>
      <x:c r="D75" s="39" t="str">
        <x:v>Indore Area</x:v>
      </x:c>
      <x:c r="E75" s="39" t="str">
        <x:v>Potlod</x:v>
      </x:c>
      <x:c r="F75" s="46" t="n">
        <x:v>123</x:v>
      </x:c>
      <x:c r="G75" s="39" t="str">
        <x:v>Regular Sunday</x:v>
      </x:c>
      <x:c r="H75" s="39" t="str">
        <x:v>Excel</x:v>
      </x:c>
      <x:c r="I75" s="39" t="str">
        <x:v>Attendance_Sep_2026_Demo.xlsx</x:v>
      </x:c>
      <x:c r="J75" s="39" t="str">
        <x:v>Synthetic</x:v>
      </x:c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9" t="str">
        <x:v>ATT-073</x:v>
      </x:c>
      <x:c r="B76" s="40" t="n">
        <x:v>46271</x:v>
      </x:c>
      <x:c r="C76" s="39" t="str">
        <x:v>September 2026</x:v>
      </x:c>
      <x:c r="D76" s="39" t="str">
        <x:v>Indore Area</x:v>
      </x:c>
      <x:c r="E76" s="39" t="str">
        <x:v>Pivday</x:v>
      </x:c>
      <x:c r="F76" s="46" t="n">
        <x:v>86</x:v>
      </x:c>
      <x:c r="G76" s="39" t="str">
        <x:v>Regular Sunday</x:v>
      </x:c>
      <x:c r="H76" s="39" t="str">
        <x:v>Excel</x:v>
      </x:c>
      <x:c r="I76" s="39" t="str">
        <x:v>Attendance_Sep_2026_Demo.xlsx</x:v>
      </x:c>
      <x:c r="J76" s="39" t="str">
        <x:v>Synthetic</x:v>
      </x:c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9" t="str">
        <x:v>ATT-074</x:v>
      </x:c>
      <x:c r="B77" s="40" t="n">
        <x:v>46278</x:v>
      </x:c>
      <x:c r="C77" s="39" t="str">
        <x:v>September 2026</x:v>
      </x:c>
      <x:c r="D77" s="39" t="str">
        <x:v>Indore Area</x:v>
      </x:c>
      <x:c r="E77" s="39" t="str">
        <x:v>Pivday</x:v>
      </x:c>
      <x:c r="F77" s="46" t="n">
        <x:v>95</x:v>
      </x:c>
      <x:c r="G77" s="39" t="str">
        <x:v>Regular Sunday</x:v>
      </x:c>
      <x:c r="H77" s="39" t="str">
        <x:v>Excel</x:v>
      </x:c>
      <x:c r="I77" s="39" t="str">
        <x:v>Attendance_Sep_2026_Demo.xlsx</x:v>
      </x:c>
      <x:c r="J77" s="39" t="str">
        <x:v>Synthetic</x:v>
      </x:c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9" t="str">
        <x:v>ATT-075</x:v>
      </x:c>
      <x:c r="B78" s="40" t="n">
        <x:v>46285</x:v>
      </x:c>
      <x:c r="C78" s="39" t="str">
        <x:v>September 2026</x:v>
      </x:c>
      <x:c r="D78" s="39" t="str">
        <x:v>Indore Area</x:v>
      </x:c>
      <x:c r="E78" s="39" t="str">
        <x:v>Pivday</x:v>
      </x:c>
      <x:c r="F78" s="46" t="n">
        <x:v>104</x:v>
      </x:c>
      <x:c r="G78" s="39" t="str">
        <x:v>Special Sunday</x:v>
      </x:c>
      <x:c r="H78" s="39" t="str">
        <x:v>Excel</x:v>
      </x:c>
      <x:c r="I78" s="39" t="str">
        <x:v>Attendance_Sep_2026_Demo.xlsx</x:v>
      </x:c>
      <x:c r="J78" s="39" t="str">
        <x:v>Synthetic</x:v>
      </x:c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9" t="str">
        <x:v>ATT-076</x:v>
      </x:c>
      <x:c r="B79" s="40" t="n">
        <x:v>46292</x:v>
      </x:c>
      <x:c r="C79" s="39" t="str">
        <x:v>September 2026</x:v>
      </x:c>
      <x:c r="D79" s="39" t="str">
        <x:v>Indore Area</x:v>
      </x:c>
      <x:c r="E79" s="39" t="str">
        <x:v>Pivday</x:v>
      </x:c>
      <x:c r="F79" s="46" t="n">
        <x:v>113</x:v>
      </x:c>
      <x:c r="G79" s="39" t="str">
        <x:v>Regular Sunday</x:v>
      </x:c>
      <x:c r="H79" s="39" t="str">
        <x:v>Excel</x:v>
      </x:c>
      <x:c r="I79" s="39" t="str">
        <x:v>Attendance_Sep_2026_Demo.xlsx</x:v>
      </x:c>
      <x:c r="J79" s="39" t="str">
        <x:v>Synthetic</x:v>
      </x:c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bdba8092d0e44f2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8" hidden="0" customWidth="1"/>
    <x:col min="4" max="4" width="20" hidden="0" customWidth="1"/>
    <x:col min="5" max="5" width="13" hidden="0" customWidth="1"/>
    <x:col min="6" max="6" width="13" hidden="0" customWidth="1"/>
    <x:col min="7" max="7" width="15" hidden="0" customWidth="1"/>
    <x:col min="8" max="8" width="12" hidden="0" customWidth="1"/>
    <x:col min="9" max="9" width="34" hidden="0" customWidth="1"/>
    <x:col min="10" max="10" width="14" hidden="0" customWidth="1"/>
  </x:cols>
  <x:sheetData>
    <x:row r="1" ht="28" customHeight="1">
      <x:c r="A1" s="5" t="str">
        <x:v>Vehicle / Wheel Counts — Synthetic Test Set</x:v>
      </x:c>
      <x:c r="B1" s="5" t="str">
        <x:v>Vehicle / Wheel Counts — Synthetic Test Set</x:v>
      </x:c>
      <x:c r="C1" s="5" t="str">
        <x:v>Vehicle / Wheel Counts — Synthetic Test Set</x:v>
      </x:c>
      <x:c r="D1" s="5" t="str">
        <x:v>Vehicle / Wheel Counts — Synthetic Test Set</x:v>
      </x:c>
      <x:c r="E1" s="5" t="str">
        <x:v>Vehicle / Wheel Counts — Synthetic Test Set</x:v>
      </x:c>
      <x:c r="F1" s="5" t="str">
        <x:v>Vehicle / Wheel Counts — Synthetic Test Set</x:v>
      </x:c>
      <x:c r="G1" s="5" t="str">
        <x:v>Vehicle / Wheel Counts — Synthetic Test Set</x:v>
      </x:c>
      <x:c r="H1" s="5" t="str">
        <x:v>Vehicle / Wheel Counts — Synthetic Test Set</x:v>
      </x:c>
      <x:c r="I1" s="5" t="str">
        <x:v>Vehicle / Wheel Counts — Synthetic Test Set</x:v>
      </x:c>
      <x:c r="J1" s="5" t="str">
        <x:v>Vehicle / Wheel Counts — Synthetic Test Set</x:v>
      </x:c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7"/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14" t="str">
        <x:v>Record ID</x:v>
      </x:c>
      <x:c r="B3" s="14" t="str">
        <x:v>Date</x:v>
      </x:c>
      <x:c r="C3" s="14" t="str">
        <x:v>Major Center</x:v>
      </x:c>
      <x:c r="D3" s="14" t="str">
        <x:v>Satsang Ghar</x:v>
      </x:c>
      <x:c r="E3" s="14" t="str">
        <x:v>2-Wheelers</x:v>
      </x:c>
      <x:c r="F3" s="14" t="str">
        <x:v>4-Wheelers</x:v>
      </x:c>
      <x:c r="G3" s="14" t="str">
        <x:v>Total Vehicles</x:v>
      </x:c>
      <x:c r="H3" s="14" t="str">
        <x:v>Source Type</x:v>
      </x:c>
      <x:c r="I3" s="14" t="str">
        <x:v>Source File</x:v>
      </x:c>
      <x:c r="J3" s="14" t="str">
        <x:v>Data Origin</x:v>
      </x:c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9" t="str">
        <x:v>VEH-001</x:v>
      </x:c>
      <x:c r="B4" s="40" t="n">
        <x:v>46271</x:v>
      </x:c>
      <x:c r="C4" s="39" t="str">
        <x:v>Indore Area</x:v>
      </x:c>
      <x:c r="D4" s="39" t="str">
        <x:v>Sukhliya</x:v>
      </x:c>
      <x:c r="E4" s="46" t="n">
        <x:v>24</x:v>
      </x:c>
      <x:c r="F4" s="46" t="n">
        <x:v>8</x:v>
      </x:c>
      <x:c r="G4" s="46" t="n">
        <x:f>E4+F4</x:f>
        <x:v>32</x:v>
      </x:c>
      <x:c r="H4" s="39" t="str">
        <x:v>Excel</x:v>
      </x:c>
      <x:c r="I4" s="39" t="str">
        <x:v>Wheel_Report_Sep_2026_Demo.xlsx</x:v>
      </x:c>
      <x:c r="J4" s="39" t="str">
        <x:v>Synthetic</x:v>
      </x:c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9" t="str">
        <x:v>VEH-002</x:v>
      </x:c>
      <x:c r="B5" s="40" t="n">
        <x:v>46278</x:v>
      </x:c>
      <x:c r="C5" s="39" t="str">
        <x:v>Indore Area</x:v>
      </x:c>
      <x:c r="D5" s="39" t="str">
        <x:v>Sukhliya</x:v>
      </x:c>
      <x:c r="E5" s="46" t="n">
        <x:v>27</x:v>
      </x:c>
      <x:c r="F5" s="46" t="n">
        <x:v>9</x:v>
      </x:c>
      <x:c r="G5" s="46" t="n">
        <x:f>E5+F5</x:f>
        <x:v>36</x:v>
      </x:c>
      <x:c r="H5" s="39" t="str">
        <x:v>Excel</x:v>
      </x:c>
      <x:c r="I5" s="39" t="str">
        <x:v>Wheel_Report_Sep_2026_Demo.xlsx</x:v>
      </x:c>
      <x:c r="J5" s="39" t="str">
        <x:v>Synthetic</x:v>
      </x:c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9" t="str">
        <x:v>VEH-003</x:v>
      </x:c>
      <x:c r="B6" s="40" t="n">
        <x:v>46285</x:v>
      </x:c>
      <x:c r="C6" s="39" t="str">
        <x:v>Indore Area</x:v>
      </x:c>
      <x:c r="D6" s="39" t="str">
        <x:v>Sukhliya</x:v>
      </x:c>
      <x:c r="E6" s="46" t="n">
        <x:v>30</x:v>
      </x:c>
      <x:c r="F6" s="46" t="n">
        <x:v>10</x:v>
      </x:c>
      <x:c r="G6" s="46" t="n">
        <x:f>E6+F6</x:f>
        <x:v>40</x:v>
      </x:c>
      <x:c r="H6" s="39" t="str">
        <x:v>Excel</x:v>
      </x:c>
      <x:c r="I6" s="39" t="str">
        <x:v>Wheel_Report_Sep_2026_Demo.xlsx</x:v>
      </x:c>
      <x:c r="J6" s="39" t="str">
        <x:v>Synthetic</x:v>
      </x:c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9" t="str">
        <x:v>VEH-004</x:v>
      </x:c>
      <x:c r="B7" s="40" t="n">
        <x:v>46292</x:v>
      </x:c>
      <x:c r="C7" s="39" t="str">
        <x:v>Indore Area</x:v>
      </x:c>
      <x:c r="D7" s="39" t="str">
        <x:v>Sukhliya</x:v>
      </x:c>
      <x:c r="E7" s="46" t="n">
        <x:v>33</x:v>
      </x:c>
      <x:c r="F7" s="46" t="n">
        <x:v>8</x:v>
      </x:c>
      <x:c r="G7" s="46" t="n">
        <x:f>E7+F7</x:f>
        <x:v>41</x:v>
      </x:c>
      <x:c r="H7" s="39" t="str">
        <x:v>Excel</x:v>
      </x:c>
      <x:c r="I7" s="39" t="str">
        <x:v>Wheel_Report_Sep_2026_Demo.xlsx</x:v>
      </x:c>
      <x:c r="J7" s="39" t="str">
        <x:v>Synthetic</x:v>
      </x:c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9" t="str">
        <x:v>VEH-005</x:v>
      </x:c>
      <x:c r="B8" s="40" t="n">
        <x:v>46271</x:v>
      </x:c>
      <x:c r="C8" s="39" t="str">
        <x:v>Indore Area</x:v>
      </x:c>
      <x:c r="D8" s="39" t="str">
        <x:v>Kila Road</x:v>
      </x:c>
      <x:c r="E8" s="46" t="n">
        <x:v>29</x:v>
      </x:c>
      <x:c r="F8" s="46" t="n">
        <x:v>10</x:v>
      </x:c>
      <x:c r="G8" s="46" t="n">
        <x:f>E8+F8</x:f>
        <x:v>39</x:v>
      </x:c>
      <x:c r="H8" s="39" t="str">
        <x:v>Excel</x:v>
      </x:c>
      <x:c r="I8" s="39" t="str">
        <x:v>Wheel_Report_Sep_2026_Demo.xlsx</x:v>
      </x:c>
      <x:c r="J8" s="39" t="str">
        <x:v>Synthetic</x:v>
      </x:c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9" t="str">
        <x:v>VEH-006</x:v>
      </x:c>
      <x:c r="B9" s="40" t="n">
        <x:v>46278</x:v>
      </x:c>
      <x:c r="C9" s="39" t="str">
        <x:v>Indore Area</x:v>
      </x:c>
      <x:c r="D9" s="39" t="str">
        <x:v>Kila Road</x:v>
      </x:c>
      <x:c r="E9" s="46" t="n">
        <x:v>32</x:v>
      </x:c>
      <x:c r="F9" s="46" t="n">
        <x:v>11</x:v>
      </x:c>
      <x:c r="G9" s="46" t="n">
        <x:f>E9+F9</x:f>
        <x:v>43</x:v>
      </x:c>
      <x:c r="H9" s="39" t="str">
        <x:v>Excel</x:v>
      </x:c>
      <x:c r="I9" s="39" t="str">
        <x:v>Wheel_Report_Sep_2026_Demo.xlsx</x:v>
      </x:c>
      <x:c r="J9" s="39" t="str">
        <x:v>Synthetic</x:v>
      </x:c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9" t="str">
        <x:v>VEH-007</x:v>
      </x:c>
      <x:c r="B10" s="40" t="n">
        <x:v>46285</x:v>
      </x:c>
      <x:c r="C10" s="39" t="str">
        <x:v>Indore Area</x:v>
      </x:c>
      <x:c r="D10" s="39" t="str">
        <x:v>Kila Road</x:v>
      </x:c>
      <x:c r="E10" s="46" t="n">
        <x:v>35</x:v>
      </x:c>
      <x:c r="F10" s="46" t="n">
        <x:v>12</x:v>
      </x:c>
      <x:c r="G10" s="46" t="n">
        <x:f>E10+F10</x:f>
        <x:v>47</x:v>
      </x:c>
      <x:c r="H10" s="39" t="str">
        <x:v>Excel</x:v>
      </x:c>
      <x:c r="I10" s="39" t="str">
        <x:v>Wheel_Report_Sep_2026_Demo.xlsx</x:v>
      </x:c>
      <x:c r="J10" s="39" t="str">
        <x:v>Synthetic</x:v>
      </x:c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9" t="str">
        <x:v>VEH-008</x:v>
      </x:c>
      <x:c r="B11" s="40" t="n">
        <x:v>46292</x:v>
      </x:c>
      <x:c r="C11" s="39" t="str">
        <x:v>Indore Area</x:v>
      </x:c>
      <x:c r="D11" s="39" t="str">
        <x:v>Kila Road</x:v>
      </x:c>
      <x:c r="E11" s="46" t="n">
        <x:v>38</x:v>
      </x:c>
      <x:c r="F11" s="46" t="n">
        <x:v>10</x:v>
      </x:c>
      <x:c r="G11" s="46" t="n">
        <x:f>E11+F11</x:f>
        <x:v>48</x:v>
      </x:c>
      <x:c r="H11" s="39" t="str">
        <x:v>Excel</x:v>
      </x:c>
      <x:c r="I11" s="39" t="str">
        <x:v>Wheel_Report_Sep_2026_Demo.xlsx</x:v>
      </x:c>
      <x:c r="J11" s="39" t="str">
        <x:v>Synthetic</x:v>
      </x:c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9" t="str">
        <x:v>VEH-009</x:v>
      </x:c>
      <x:c r="B12" s="40" t="n">
        <x:v>46271</x:v>
      </x:c>
      <x:c r="C12" s="39" t="str">
        <x:v>Indore Area</x:v>
      </x:c>
      <x:c r="D12" s="39" t="str">
        <x:v>Manglia</x:v>
      </x:c>
      <x:c r="E12" s="46" t="n">
        <x:v>34</x:v>
      </x:c>
      <x:c r="F12" s="46" t="n">
        <x:v>12</x:v>
      </x:c>
      <x:c r="G12" s="46" t="n">
        <x:f>E12+F12</x:f>
        <x:v>46</x:v>
      </x:c>
      <x:c r="H12" s="39" t="str">
        <x:v>Excel</x:v>
      </x:c>
      <x:c r="I12" s="39" t="str">
        <x:v>Wheel_Report_Sep_2026_Demo.xlsx</x:v>
      </x:c>
      <x:c r="J12" s="39" t="str">
        <x:v>Synthetic</x:v>
      </x:c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9" t="str">
        <x:v>VEH-010</x:v>
      </x:c>
      <x:c r="B13" s="40" t="n">
        <x:v>46278</x:v>
      </x:c>
      <x:c r="C13" s="39" t="str">
        <x:v>Indore Area</x:v>
      </x:c>
      <x:c r="D13" s="39" t="str">
        <x:v>Manglia</x:v>
      </x:c>
      <x:c r="E13" s="46" t="n">
        <x:v>37</x:v>
      </x:c>
      <x:c r="F13" s="46" t="n">
        <x:v>13</x:v>
      </x:c>
      <x:c r="G13" s="46" t="n">
        <x:f>E13+F13</x:f>
        <x:v>50</x:v>
      </x:c>
      <x:c r="H13" s="39" t="str">
        <x:v>Excel</x:v>
      </x:c>
      <x:c r="I13" s="39" t="str">
        <x:v>Wheel_Report_Sep_2026_Demo.xlsx</x:v>
      </x:c>
      <x:c r="J13" s="39" t="str">
        <x:v>Synthetic</x:v>
      </x:c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9" t="str">
        <x:v>VEH-011</x:v>
      </x:c>
      <x:c r="B14" s="40" t="n">
        <x:v>46285</x:v>
      </x:c>
      <x:c r="C14" s="39" t="str">
        <x:v>Indore Area</x:v>
      </x:c>
      <x:c r="D14" s="39" t="str">
        <x:v>Manglia</x:v>
      </x:c>
      <x:c r="E14" s="46" t="n">
        <x:v>40</x:v>
      </x:c>
      <x:c r="F14" s="46" t="n">
        <x:v>14</x:v>
      </x:c>
      <x:c r="G14" s="46" t="n">
        <x:f>E14+F14</x:f>
        <x:v>54</x:v>
      </x:c>
      <x:c r="H14" s="39" t="str">
        <x:v>Excel</x:v>
      </x:c>
      <x:c r="I14" s="39" t="str">
        <x:v>Wheel_Report_Sep_2026_Demo.xlsx</x:v>
      </x:c>
      <x:c r="J14" s="39" t="str">
        <x:v>Synthetic</x:v>
      </x:c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9" t="str">
        <x:v>VEH-012</x:v>
      </x:c>
      <x:c r="B15" s="40" t="n">
        <x:v>46292</x:v>
      </x:c>
      <x:c r="C15" s="39" t="str">
        <x:v>Indore Area</x:v>
      </x:c>
      <x:c r="D15" s="39" t="str">
        <x:v>Manglia</x:v>
      </x:c>
      <x:c r="E15" s="46" t="n">
        <x:v>43</x:v>
      </x:c>
      <x:c r="F15" s="46" t="n">
        <x:v>12</x:v>
      </x:c>
      <x:c r="G15" s="46" t="n">
        <x:f>E15+F15</x:f>
        <x:v>55</x:v>
      </x:c>
      <x:c r="H15" s="39" t="str">
        <x:v>Excel</x:v>
      </x:c>
      <x:c r="I15" s="39" t="str">
        <x:v>Wheel_Report_Sep_2026_Demo.xlsx</x:v>
      </x:c>
      <x:c r="J15" s="39" t="str">
        <x:v>Synthetic</x:v>
      </x:c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9" t="str">
        <x:v>VEH-013</x:v>
      </x:c>
      <x:c r="B16" s="40" t="n">
        <x:v>46271</x:v>
      </x:c>
      <x:c r="C16" s="39" t="str">
        <x:v>Indore Area</x:v>
      </x:c>
      <x:c r="D16" s="39" t="str">
        <x:v>Bicholi Hapsi</x:v>
      </x:c>
      <x:c r="E16" s="46" t="n">
        <x:v>39</x:v>
      </x:c>
      <x:c r="F16" s="46" t="n">
        <x:v>14</x:v>
      </x:c>
      <x:c r="G16" s="46" t="n">
        <x:f>E16+F16</x:f>
        <x:v>53</x:v>
      </x:c>
      <x:c r="H16" s="39" t="str">
        <x:v>Excel</x:v>
      </x:c>
      <x:c r="I16" s="39" t="str">
        <x:v>Wheel_Report_Sep_2026_Demo.xlsx</x:v>
      </x:c>
      <x:c r="J16" s="39" t="str">
        <x:v>Synthetic</x:v>
      </x:c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9" t="str">
        <x:v>VEH-014</x:v>
      </x:c>
      <x:c r="B17" s="40" t="n">
        <x:v>46278</x:v>
      </x:c>
      <x:c r="C17" s="39" t="str">
        <x:v>Indore Area</x:v>
      </x:c>
      <x:c r="D17" s="39" t="str">
        <x:v>Bicholi Hapsi</x:v>
      </x:c>
      <x:c r="E17" s="46" t="n">
        <x:v>42</x:v>
      </x:c>
      <x:c r="F17" s="46" t="n">
        <x:v>15</x:v>
      </x:c>
      <x:c r="G17" s="46" t="n">
        <x:f>E17+F17</x:f>
        <x:v>57</x:v>
      </x:c>
      <x:c r="H17" s="39" t="str">
        <x:v>Excel</x:v>
      </x:c>
      <x:c r="I17" s="39" t="str">
        <x:v>Wheel_Report_Sep_2026_Demo.xlsx</x:v>
      </x:c>
      <x:c r="J17" s="39" t="str">
        <x:v>Synthetic</x:v>
      </x:c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9" t="str">
        <x:v>VEH-015</x:v>
      </x:c>
      <x:c r="B18" s="40" t="n">
        <x:v>46285</x:v>
      </x:c>
      <x:c r="C18" s="39" t="str">
        <x:v>Indore Area</x:v>
      </x:c>
      <x:c r="D18" s="39" t="str">
        <x:v>Bicholi Hapsi</x:v>
      </x:c>
      <x:c r="E18" s="46" t="n">
        <x:v>45</x:v>
      </x:c>
      <x:c r="F18" s="46" t="n">
        <x:v>16</x:v>
      </x:c>
      <x:c r="G18" s="46" t="n">
        <x:f>E18+F18</x:f>
        <x:v>61</x:v>
      </x:c>
      <x:c r="H18" s="39" t="str">
        <x:v>Excel</x:v>
      </x:c>
      <x:c r="I18" s="39" t="str">
        <x:v>Wheel_Report_Sep_2026_Demo.xlsx</x:v>
      </x:c>
      <x:c r="J18" s="39" t="str">
        <x:v>Synthetic</x:v>
      </x:c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9" t="str">
        <x:v>VEH-016</x:v>
      </x:c>
      <x:c r="B19" s="40" t="n">
        <x:v>46292</x:v>
      </x:c>
      <x:c r="C19" s="39" t="str">
        <x:v>Indore Area</x:v>
      </x:c>
      <x:c r="D19" s="39" t="str">
        <x:v>Bicholi Hapsi</x:v>
      </x:c>
      <x:c r="E19" s="46" t="n">
        <x:v>48</x:v>
      </x:c>
      <x:c r="F19" s="46" t="n">
        <x:v>14</x:v>
      </x:c>
      <x:c r="G19" s="46" t="n">
        <x:f>E19+F19</x:f>
        <x:v>62</x:v>
      </x:c>
      <x:c r="H19" s="39" t="str">
        <x:v>Excel</x:v>
      </x:c>
      <x:c r="I19" s="39" t="str">
        <x:v>Wheel_Report_Sep_2026_Demo.xlsx</x:v>
      </x:c>
      <x:c r="J19" s="39" t="str">
        <x:v>Synthetic</x:v>
      </x:c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9" t="str">
        <x:v>VEH-017</x:v>
      </x:c>
      <x:c r="B20" s="40" t="n">
        <x:v>46271</x:v>
      </x:c>
      <x:c r="C20" s="39" t="str">
        <x:v>Indore Area</x:v>
      </x:c>
      <x:c r="D20" s="39" t="str">
        <x:v>Mayakhedi</x:v>
      </x:c>
      <x:c r="E20" s="46" t="n">
        <x:v>44</x:v>
      </x:c>
      <x:c r="F20" s="46" t="n">
        <x:v>16</x:v>
      </x:c>
      <x:c r="G20" s="46" t="n">
        <x:f>E20+F20</x:f>
        <x:v>60</x:v>
      </x:c>
      <x:c r="H20" s="39" t="str">
        <x:v>Excel</x:v>
      </x:c>
      <x:c r="I20" s="39" t="str">
        <x:v>Wheel_Report_Sep_2026_Demo.xlsx</x:v>
      </x:c>
      <x:c r="J20" s="39" t="str">
        <x:v>Synthetic</x:v>
      </x:c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9" t="str">
        <x:v>VEH-018</x:v>
      </x:c>
      <x:c r="B21" s="40" t="n">
        <x:v>46278</x:v>
      </x:c>
      <x:c r="C21" s="39" t="str">
        <x:v>Indore Area</x:v>
      </x:c>
      <x:c r="D21" s="39" t="str">
        <x:v>Mayakhedi</x:v>
      </x:c>
      <x:c r="E21" s="46" t="n">
        <x:v>47</x:v>
      </x:c>
      <x:c r="F21" s="46" t="n">
        <x:v>17</x:v>
      </x:c>
      <x:c r="G21" s="46" t="n">
        <x:f>E21+F21</x:f>
        <x:v>64</x:v>
      </x:c>
      <x:c r="H21" s="39" t="str">
        <x:v>Excel</x:v>
      </x:c>
      <x:c r="I21" s="39" t="str">
        <x:v>Wheel_Report_Sep_2026_Demo.xlsx</x:v>
      </x:c>
      <x:c r="J21" s="39" t="str">
        <x:v>Synthetic</x:v>
      </x:c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9" t="str">
        <x:v>VEH-019</x:v>
      </x:c>
      <x:c r="B22" s="40" t="n">
        <x:v>46285</x:v>
      </x:c>
      <x:c r="C22" s="39" t="str">
        <x:v>Indore Area</x:v>
      </x:c>
      <x:c r="D22" s="39" t="str">
        <x:v>Mayakhedi</x:v>
      </x:c>
      <x:c r="E22" s="46" t="n">
        <x:v>50</x:v>
      </x:c>
      <x:c r="F22" s="46" t="n">
        <x:v>18</x:v>
      </x:c>
      <x:c r="G22" s="46" t="n">
        <x:f>E22+F22</x:f>
        <x:v>68</x:v>
      </x:c>
      <x:c r="H22" s="39" t="str">
        <x:v>Excel</x:v>
      </x:c>
      <x:c r="I22" s="39" t="str">
        <x:v>Wheel_Report_Sep_2026_Demo.xlsx</x:v>
      </x:c>
      <x:c r="J22" s="39" t="str">
        <x:v>Synthetic</x:v>
      </x:c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9" t="str">
        <x:v>VEH-020</x:v>
      </x:c>
      <x:c r="B23" s="40" t="n">
        <x:v>46292</x:v>
      </x:c>
      <x:c r="C23" s="39" t="str">
        <x:v>Indore Area</x:v>
      </x:c>
      <x:c r="D23" s="39" t="str">
        <x:v>Mayakhedi</x:v>
      </x:c>
      <x:c r="E23" s="46" t="n">
        <x:v>53</x:v>
      </x:c>
      <x:c r="F23" s="46" t="n">
        <x:v>16</x:v>
      </x:c>
      <x:c r="G23" s="46" t="n">
        <x:f>E23+F23</x:f>
        <x:v>69</x:v>
      </x:c>
      <x:c r="H23" s="39" t="str">
        <x:v>Excel</x:v>
      </x:c>
      <x:c r="I23" s="39" t="str">
        <x:v>Wheel_Report_Sep_2026_Demo.xlsx</x:v>
      </x:c>
      <x:c r="J23" s="39" t="str">
        <x:v>Synthetic</x:v>
      </x:c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9" t="str">
        <x:v>VEH-021</x:v>
      </x:c>
      <x:c r="B24" s="40" t="n">
        <x:v>46271</x:v>
      </x:c>
      <x:c r="C24" s="39" t="str">
        <x:v>Indore Area</x:v>
      </x:c>
      <x:c r="D24" s="39" t="str">
        <x:v>Hatod</x:v>
      </x:c>
      <x:c r="E24" s="46" t="n">
        <x:v>49</x:v>
      </x:c>
      <x:c r="F24" s="46" t="n">
        <x:v>18</x:v>
      </x:c>
      <x:c r="G24" s="46" t="n">
        <x:f>E24+F24</x:f>
        <x:v>67</x:v>
      </x:c>
      <x:c r="H24" s="39" t="str">
        <x:v>Excel</x:v>
      </x:c>
      <x:c r="I24" s="39" t="str">
        <x:v>Wheel_Report_Sep_2026_Demo.xlsx</x:v>
      </x:c>
      <x:c r="J24" s="39" t="str">
        <x:v>Synthetic</x:v>
      </x:c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9" t="str">
        <x:v>VEH-022</x:v>
      </x:c>
      <x:c r="B25" s="40" t="n">
        <x:v>46278</x:v>
      </x:c>
      <x:c r="C25" s="39" t="str">
        <x:v>Indore Area</x:v>
      </x:c>
      <x:c r="D25" s="39" t="str">
        <x:v>Hatod</x:v>
      </x:c>
      <x:c r="E25" s="46" t="n">
        <x:v>52</x:v>
      </x:c>
      <x:c r="F25" s="46" t="n">
        <x:v>19</x:v>
      </x:c>
      <x:c r="G25" s="46" t="n">
        <x:f>E25+F25</x:f>
        <x:v>71</x:v>
      </x:c>
      <x:c r="H25" s="39" t="str">
        <x:v>Excel</x:v>
      </x:c>
      <x:c r="I25" s="39" t="str">
        <x:v>Wheel_Report_Sep_2026_Demo.xlsx</x:v>
      </x:c>
      <x:c r="J25" s="39" t="str">
        <x:v>Synthetic</x:v>
      </x:c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9" t="str">
        <x:v>VEH-023</x:v>
      </x:c>
      <x:c r="B26" s="40" t="n">
        <x:v>46285</x:v>
      </x:c>
      <x:c r="C26" s="39" t="str">
        <x:v>Indore Area</x:v>
      </x:c>
      <x:c r="D26" s="39" t="str">
        <x:v>Hatod</x:v>
      </x:c>
      <x:c r="E26" s="46" t="n">
        <x:v>55</x:v>
      </x:c>
      <x:c r="F26" s="46" t="n">
        <x:v>20</x:v>
      </x:c>
      <x:c r="G26" s="46" t="n">
        <x:f>E26+F26</x:f>
        <x:v>75</x:v>
      </x:c>
      <x:c r="H26" s="39" t="str">
        <x:v>Excel</x:v>
      </x:c>
      <x:c r="I26" s="39" t="str">
        <x:v>Wheel_Report_Sep_2026_Demo.xlsx</x:v>
      </x:c>
      <x:c r="J26" s="39" t="str">
        <x:v>Synthetic</x:v>
      </x:c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9" t="str">
        <x:v>VEH-024</x:v>
      </x:c>
      <x:c r="B27" s="40" t="n">
        <x:v>46292</x:v>
      </x:c>
      <x:c r="C27" s="39" t="str">
        <x:v>Indore Area</x:v>
      </x:c>
      <x:c r="D27" s="39" t="str">
        <x:v>Hatod</x:v>
      </x:c>
      <x:c r="E27" s="46" t="n">
        <x:v>58</x:v>
      </x:c>
      <x:c r="F27" s="46" t="n">
        <x:v>18</x:v>
      </x:c>
      <x:c r="G27" s="46" t="n">
        <x:f>E27+F27</x:f>
        <x:v>76</x:v>
      </x:c>
      <x:c r="H27" s="39" t="str">
        <x:v>Excel</x:v>
      </x:c>
      <x:c r="I27" s="39" t="str">
        <x:v>Wheel_Report_Sep_2026_Demo.xlsx</x:v>
      </x:c>
      <x:c r="J27" s="39" t="str">
        <x:v>Synthetic</x:v>
      </x:c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9" t="str">
        <x:v>VEH-025</x:v>
      </x:c>
      <x:c r="B28" s="40" t="n">
        <x:v>46271</x:v>
      </x:c>
      <x:c r="C28" s="39" t="str">
        <x:v>Indore Area</x:v>
      </x:c>
      <x:c r="D28" s="39" t="str">
        <x:v>Ataheda</x:v>
      </x:c>
      <x:c r="E28" s="46" t="n">
        <x:v>54</x:v>
      </x:c>
      <x:c r="F28" s="46" t="n">
        <x:v>20</x:v>
      </x:c>
      <x:c r="G28" s="46" t="n">
        <x:f>E28+F28</x:f>
        <x:v>74</x:v>
      </x:c>
      <x:c r="H28" s="39" t="str">
        <x:v>Excel</x:v>
      </x:c>
      <x:c r="I28" s="39" t="str">
        <x:v>Wheel_Report_Sep_2026_Demo.xlsx</x:v>
      </x:c>
      <x:c r="J28" s="39" t="str">
        <x:v>Synthetic</x:v>
      </x:c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9" t="str">
        <x:v>VEH-026</x:v>
      </x:c>
      <x:c r="B29" s="40" t="n">
        <x:v>46278</x:v>
      </x:c>
      <x:c r="C29" s="39" t="str">
        <x:v>Indore Area</x:v>
      </x:c>
      <x:c r="D29" s="39" t="str">
        <x:v>Ataheda</x:v>
      </x:c>
      <x:c r="E29" s="46" t="n">
        <x:v>57</x:v>
      </x:c>
      <x:c r="F29" s="46" t="n">
        <x:v>21</x:v>
      </x:c>
      <x:c r="G29" s="46" t="n">
        <x:f>E29+F29</x:f>
        <x:v>78</x:v>
      </x:c>
      <x:c r="H29" s="39" t="str">
        <x:v>Excel</x:v>
      </x:c>
      <x:c r="I29" s="39" t="str">
        <x:v>Wheel_Report_Sep_2026_Demo.xlsx</x:v>
      </x:c>
      <x:c r="J29" s="39" t="str">
        <x:v>Synthetic</x:v>
      </x:c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9" t="str">
        <x:v>VEH-027</x:v>
      </x:c>
      <x:c r="B30" s="40" t="n">
        <x:v>46285</x:v>
      </x:c>
      <x:c r="C30" s="39" t="str">
        <x:v>Indore Area</x:v>
      </x:c>
      <x:c r="D30" s="39" t="str">
        <x:v>Ataheda</x:v>
      </x:c>
      <x:c r="E30" s="46" t="n">
        <x:v>60</x:v>
      </x:c>
      <x:c r="F30" s="46" t="n">
        <x:v>22</x:v>
      </x:c>
      <x:c r="G30" s="46" t="n">
        <x:f>E30+F30</x:f>
        <x:v>82</x:v>
      </x:c>
      <x:c r="H30" s="39" t="str">
        <x:v>Excel</x:v>
      </x:c>
      <x:c r="I30" s="39" t="str">
        <x:v>Wheel_Report_Sep_2026_Demo.xlsx</x:v>
      </x:c>
      <x:c r="J30" s="39" t="str">
        <x:v>Synthetic</x:v>
      </x:c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9" t="str">
        <x:v>VEH-028</x:v>
      </x:c>
      <x:c r="B31" s="40" t="n">
        <x:v>46292</x:v>
      </x:c>
      <x:c r="C31" s="39" t="str">
        <x:v>Indore Area</x:v>
      </x:c>
      <x:c r="D31" s="39" t="str">
        <x:v>Ataheda</x:v>
      </x:c>
      <x:c r="E31" s="46" t="n">
        <x:v>63</x:v>
      </x:c>
      <x:c r="F31" s="46" t="n">
        <x:v>20</x:v>
      </x:c>
      <x:c r="G31" s="46" t="n">
        <x:f>E31+F31</x:f>
        <x:v>83</x:v>
      </x:c>
      <x:c r="H31" s="39" t="str">
        <x:v>Excel</x:v>
      </x:c>
      <x:c r="I31" s="39" t="str">
        <x:v>Wheel_Report_Sep_2026_Demo.xlsx</x:v>
      </x:c>
      <x:c r="J31" s="39" t="str">
        <x:v>Synthetic</x:v>
      </x:c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9" t="str">
        <x:v>VEH-029</x:v>
      </x:c>
      <x:c r="B32" s="40" t="n">
        <x:v>46271</x:v>
      </x:c>
      <x:c r="C32" s="39" t="str">
        <x:v>Indore Area</x:v>
      </x:c>
      <x:c r="D32" s="39" t="str">
        <x:v>Birgoda</x:v>
      </x:c>
      <x:c r="E32" s="46" t="n">
        <x:v>59</x:v>
      </x:c>
      <x:c r="F32" s="46" t="n">
        <x:v>22</x:v>
      </x:c>
      <x:c r="G32" s="46" t="n">
        <x:f>E32+F32</x:f>
        <x:v>81</x:v>
      </x:c>
      <x:c r="H32" s="39" t="str">
        <x:v>Excel</x:v>
      </x:c>
      <x:c r="I32" s="39" t="str">
        <x:v>Wheel_Report_Sep_2026_Demo.xlsx</x:v>
      </x:c>
      <x:c r="J32" s="39" t="str">
        <x:v>Synthetic</x:v>
      </x:c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9" t="str">
        <x:v>VEH-030</x:v>
      </x:c>
      <x:c r="B33" s="40" t="n">
        <x:v>46278</x:v>
      </x:c>
      <x:c r="C33" s="39" t="str">
        <x:v>Indore Area</x:v>
      </x:c>
      <x:c r="D33" s="39" t="str">
        <x:v>Birgoda</x:v>
      </x:c>
      <x:c r="E33" s="46" t="n">
        <x:v>62</x:v>
      </x:c>
      <x:c r="F33" s="46" t="n">
        <x:v>23</x:v>
      </x:c>
      <x:c r="G33" s="46" t="n">
        <x:f>E33+F33</x:f>
        <x:v>85</x:v>
      </x:c>
      <x:c r="H33" s="39" t="str">
        <x:v>Excel</x:v>
      </x:c>
      <x:c r="I33" s="39" t="str">
        <x:v>Wheel_Report_Sep_2026_Demo.xlsx</x:v>
      </x:c>
      <x:c r="J33" s="39" t="str">
        <x:v>Synthetic</x:v>
      </x:c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9" t="str">
        <x:v>VEH-031</x:v>
      </x:c>
      <x:c r="B34" s="40" t="n">
        <x:v>46285</x:v>
      </x:c>
      <x:c r="C34" s="39" t="str">
        <x:v>Indore Area</x:v>
      </x:c>
      <x:c r="D34" s="39" t="str">
        <x:v>Birgoda</x:v>
      </x:c>
      <x:c r="E34" s="46" t="n">
        <x:v>65</x:v>
      </x:c>
      <x:c r="F34" s="46" t="n">
        <x:v>24</x:v>
      </x:c>
      <x:c r="G34" s="46" t="n">
        <x:f>E34+F34</x:f>
        <x:v>89</x:v>
      </x:c>
      <x:c r="H34" s="39" t="str">
        <x:v>Excel</x:v>
      </x:c>
      <x:c r="I34" s="39" t="str">
        <x:v>Wheel_Report_Sep_2026_Demo.xlsx</x:v>
      </x:c>
      <x:c r="J34" s="39" t="str">
        <x:v>Synthetic</x:v>
      </x:c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9" t="str">
        <x:v>VEH-032</x:v>
      </x:c>
      <x:c r="B35" s="40" t="n">
        <x:v>46292</x:v>
      </x:c>
      <x:c r="C35" s="39" t="str">
        <x:v>Indore Area</x:v>
      </x:c>
      <x:c r="D35" s="39" t="str">
        <x:v>Birgoda</x:v>
      </x:c>
      <x:c r="E35" s="46" t="n">
        <x:v>68</x:v>
      </x:c>
      <x:c r="F35" s="46" t="n">
        <x:v>22</x:v>
      </x:c>
      <x:c r="G35" s="46" t="n">
        <x:f>E35+F35</x:f>
        <x:v>90</x:v>
      </x:c>
      <x:c r="H35" s="39" t="str">
        <x:v>Excel</x:v>
      </x:c>
      <x:c r="I35" s="39" t="str">
        <x:v>Wheel_Report_Sep_2026_Demo.xlsx</x:v>
      </x:c>
      <x:c r="J35" s="39" t="str">
        <x:v>Synthetic</x:v>
      </x:c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9" t="str">
        <x:v>VEH-033</x:v>
      </x:c>
      <x:c r="B36" s="40" t="n">
        <x:v>46271</x:v>
      </x:c>
      <x:c r="C36" s="39" t="str">
        <x:v>Indore Area</x:v>
      </x:c>
      <x:c r="D36" s="39" t="str">
        <x:v>Chander</x:v>
      </x:c>
      <x:c r="E36" s="46" t="n">
        <x:v>64</x:v>
      </x:c>
      <x:c r="F36" s="46" t="n">
        <x:v>8</x:v>
      </x:c>
      <x:c r="G36" s="46" t="n">
        <x:f>E36+F36</x:f>
        <x:v>72</x:v>
      </x:c>
      <x:c r="H36" s="39" t="str">
        <x:v>Excel</x:v>
      </x:c>
      <x:c r="I36" s="39" t="str">
        <x:v>Wheel_Report_Sep_2026_Demo.xlsx</x:v>
      </x:c>
      <x:c r="J36" s="39" t="str">
        <x:v>Synthetic</x:v>
      </x:c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9" t="str">
        <x:v>VEH-034</x:v>
      </x:c>
      <x:c r="B37" s="40" t="n">
        <x:v>46278</x:v>
      </x:c>
      <x:c r="C37" s="39" t="str">
        <x:v>Indore Area</x:v>
      </x:c>
      <x:c r="D37" s="39" t="str">
        <x:v>Chander</x:v>
      </x:c>
      <x:c r="E37" s="46" t="n">
        <x:v>67</x:v>
      </x:c>
      <x:c r="F37" s="46" t="n">
        <x:v>9</x:v>
      </x:c>
      <x:c r="G37" s="46" t="n">
        <x:f>E37+F37</x:f>
        <x:v>76</x:v>
      </x:c>
      <x:c r="H37" s="39" t="str">
        <x:v>Excel</x:v>
      </x:c>
      <x:c r="I37" s="39" t="str">
        <x:v>Wheel_Report_Sep_2026_Demo.xlsx</x:v>
      </x:c>
      <x:c r="J37" s="39" t="str">
        <x:v>Synthetic</x:v>
      </x:c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9" t="str">
        <x:v>VEH-035</x:v>
      </x:c>
      <x:c r="B38" s="40" t="n">
        <x:v>46285</x:v>
      </x:c>
      <x:c r="C38" s="39" t="str">
        <x:v>Indore Area</x:v>
      </x:c>
      <x:c r="D38" s="39" t="str">
        <x:v>Chander</x:v>
      </x:c>
      <x:c r="E38" s="46" t="n">
        <x:v>70</x:v>
      </x:c>
      <x:c r="F38" s="46" t="n">
        <x:v>10</x:v>
      </x:c>
      <x:c r="G38" s="46" t="n">
        <x:f>E38+F38</x:f>
        <x:v>80</x:v>
      </x:c>
      <x:c r="H38" s="39" t="str">
        <x:v>Excel</x:v>
      </x:c>
      <x:c r="I38" s="39" t="str">
        <x:v>Wheel_Report_Sep_2026_Demo.xlsx</x:v>
      </x:c>
      <x:c r="J38" s="39" t="str">
        <x:v>Synthetic</x:v>
      </x:c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9" t="str">
        <x:v>VEH-036</x:v>
      </x:c>
      <x:c r="B39" s="40" t="n">
        <x:v>46292</x:v>
      </x:c>
      <x:c r="C39" s="39" t="str">
        <x:v>Indore Area</x:v>
      </x:c>
      <x:c r="D39" s="39" t="str">
        <x:v>Chander</x:v>
      </x:c>
      <x:c r="E39" s="46" t="n">
        <x:v>73</x:v>
      </x:c>
      <x:c r="F39" s="46" t="n">
        <x:v>8</x:v>
      </x:c>
      <x:c r="G39" s="46" t="n">
        <x:f>E39+F39</x:f>
        <x:v>81</x:v>
      </x:c>
      <x:c r="H39" s="39" t="str">
        <x:v>Excel</x:v>
      </x:c>
      <x:c r="I39" s="39" t="str">
        <x:v>Wheel_Report_Sep_2026_Demo.xlsx</x:v>
      </x:c>
      <x:c r="J39" s="39" t="str">
        <x:v>Synthetic</x:v>
      </x:c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9" t="str">
        <x:v>VEH-037</x:v>
      </x:c>
      <x:c r="B40" s="40" t="n">
        <x:v>46271</x:v>
      </x:c>
      <x:c r="C40" s="39" t="str">
        <x:v>Indore Area</x:v>
      </x:c>
      <x:c r="D40" s="39" t="str">
        <x:v>Semda</x:v>
      </x:c>
      <x:c r="E40" s="46" t="n">
        <x:v>26</x:v>
      </x:c>
      <x:c r="F40" s="46" t="n">
        <x:v>10</x:v>
      </x:c>
      <x:c r="G40" s="46" t="n">
        <x:f>E40+F40</x:f>
        <x:v>36</x:v>
      </x:c>
      <x:c r="H40" s="39" t="str">
        <x:v>Excel</x:v>
      </x:c>
      <x:c r="I40" s="39" t="str">
        <x:v>Wheel_Report_Sep_2026_Demo.xlsx</x:v>
      </x:c>
      <x:c r="J40" s="39" t="str">
        <x:v>Synthetic</x:v>
      </x:c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9" t="str">
        <x:v>VEH-038</x:v>
      </x:c>
      <x:c r="B41" s="40" t="n">
        <x:v>46278</x:v>
      </x:c>
      <x:c r="C41" s="39" t="str">
        <x:v>Indore Area</x:v>
      </x:c>
      <x:c r="D41" s="39" t="str">
        <x:v>Semda</x:v>
      </x:c>
      <x:c r="E41" s="46" t="n">
        <x:v>29</x:v>
      </x:c>
      <x:c r="F41" s="46" t="n">
        <x:v>11</x:v>
      </x:c>
      <x:c r="G41" s="46" t="n">
        <x:f>E41+F41</x:f>
        <x:v>40</x:v>
      </x:c>
      <x:c r="H41" s="39" t="str">
        <x:v>Excel</x:v>
      </x:c>
      <x:c r="I41" s="39" t="str">
        <x:v>Wheel_Report_Sep_2026_Demo.xlsx</x:v>
      </x:c>
      <x:c r="J41" s="39" t="str">
        <x:v>Synthetic</x:v>
      </x:c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9" t="str">
        <x:v>VEH-039</x:v>
      </x:c>
      <x:c r="B42" s="40" t="n">
        <x:v>46285</x:v>
      </x:c>
      <x:c r="C42" s="39" t="str">
        <x:v>Indore Area</x:v>
      </x:c>
      <x:c r="D42" s="39" t="str">
        <x:v>Semda</x:v>
      </x:c>
      <x:c r="E42" s="46" t="n">
        <x:v>32</x:v>
      </x:c>
      <x:c r="F42" s="46" t="n">
        <x:v>12</x:v>
      </x:c>
      <x:c r="G42" s="46" t="n">
        <x:f>E42+F42</x:f>
        <x:v>44</x:v>
      </x:c>
      <x:c r="H42" s="39" t="str">
        <x:v>Excel</x:v>
      </x:c>
      <x:c r="I42" s="39" t="str">
        <x:v>Wheel_Report_Sep_2026_Demo.xlsx</x:v>
      </x:c>
      <x:c r="J42" s="39" t="str">
        <x:v>Synthetic</x:v>
      </x:c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9" t="str">
        <x:v>VEH-040</x:v>
      </x:c>
      <x:c r="B43" s="40" t="n">
        <x:v>46292</x:v>
      </x:c>
      <x:c r="C43" s="39" t="str">
        <x:v>Indore Area</x:v>
      </x:c>
      <x:c r="D43" s="39" t="str">
        <x:v>Semda</x:v>
      </x:c>
      <x:c r="E43" s="46" t="n">
        <x:v>35</x:v>
      </x:c>
      <x:c r="F43" s="46" t="n">
        <x:v>10</x:v>
      </x:c>
      <x:c r="G43" s="46" t="n">
        <x:f>E43+F43</x:f>
        <x:v>45</x:v>
      </x:c>
      <x:c r="H43" s="39" t="str">
        <x:v>Excel</x:v>
      </x:c>
      <x:c r="I43" s="39" t="str">
        <x:v>Wheel_Report_Sep_2026_Demo.xlsx</x:v>
      </x:c>
      <x:c r="J43" s="39" t="str">
        <x:v>Synthetic</x:v>
      </x:c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9" t="str">
        <x:v>VEH-041</x:v>
      </x:c>
      <x:c r="B44" s="40" t="n">
        <x:v>46271</x:v>
      </x:c>
      <x:c r="C44" s="39" t="str">
        <x:v>Indore Area</x:v>
      </x:c>
      <x:c r="D44" s="39" t="str">
        <x:v>Kalaria</x:v>
      </x:c>
      <x:c r="E44" s="46" t="n">
        <x:v>31</x:v>
      </x:c>
      <x:c r="F44" s="46" t="n">
        <x:v>12</x:v>
      </x:c>
      <x:c r="G44" s="46" t="n">
        <x:f>E44+F44</x:f>
        <x:v>43</x:v>
      </x:c>
      <x:c r="H44" s="39" t="str">
        <x:v>Excel</x:v>
      </x:c>
      <x:c r="I44" s="39" t="str">
        <x:v>Wheel_Report_Sep_2026_Demo.xlsx</x:v>
      </x:c>
      <x:c r="J44" s="39" t="str">
        <x:v>Synthetic</x:v>
      </x:c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9" t="str">
        <x:v>VEH-042</x:v>
      </x:c>
      <x:c r="B45" s="40" t="n">
        <x:v>46278</x:v>
      </x:c>
      <x:c r="C45" s="39" t="str">
        <x:v>Indore Area</x:v>
      </x:c>
      <x:c r="D45" s="39" t="str">
        <x:v>Kalaria</x:v>
      </x:c>
      <x:c r="E45" s="46" t="n">
        <x:v>34</x:v>
      </x:c>
      <x:c r="F45" s="46" t="n">
        <x:v>13</x:v>
      </x:c>
      <x:c r="G45" s="46" t="n">
        <x:f>E45+F45</x:f>
        <x:v>47</x:v>
      </x:c>
      <x:c r="H45" s="39" t="str">
        <x:v>Excel</x:v>
      </x:c>
      <x:c r="I45" s="39" t="str">
        <x:v>Wheel_Report_Sep_2026_Demo.xlsx</x:v>
      </x:c>
      <x:c r="J45" s="39" t="str">
        <x:v>Synthetic</x:v>
      </x:c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9" t="str">
        <x:v>VEH-043</x:v>
      </x:c>
      <x:c r="B46" s="40" t="n">
        <x:v>46285</x:v>
      </x:c>
      <x:c r="C46" s="39" t="str">
        <x:v>Indore Area</x:v>
      </x:c>
      <x:c r="D46" s="39" t="str">
        <x:v>Kalaria</x:v>
      </x:c>
      <x:c r="E46" s="46" t="n">
        <x:v>37</x:v>
      </x:c>
      <x:c r="F46" s="46" t="n">
        <x:v>14</x:v>
      </x:c>
      <x:c r="G46" s="46" t="n">
        <x:f>E46+F46</x:f>
        <x:v>51</x:v>
      </x:c>
      <x:c r="H46" s="39" t="str">
        <x:v>Excel</x:v>
      </x:c>
      <x:c r="I46" s="39" t="str">
        <x:v>Wheel_Report_Sep_2026_Demo.xlsx</x:v>
      </x:c>
      <x:c r="J46" s="39" t="str">
        <x:v>Synthetic</x:v>
      </x:c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9" t="str">
        <x:v>VEH-044</x:v>
      </x:c>
      <x:c r="B47" s="40" t="n">
        <x:v>46292</x:v>
      </x:c>
      <x:c r="C47" s="39" t="str">
        <x:v>Indore Area</x:v>
      </x:c>
      <x:c r="D47" s="39" t="str">
        <x:v>Kalaria</x:v>
      </x:c>
      <x:c r="E47" s="46" t="n">
        <x:v>40</x:v>
      </x:c>
      <x:c r="F47" s="46" t="n">
        <x:v>12</x:v>
      </x:c>
      <x:c r="G47" s="46" t="n">
        <x:f>E47+F47</x:f>
        <x:v>52</x:v>
      </x:c>
      <x:c r="H47" s="39" t="str">
        <x:v>Excel</x:v>
      </x:c>
      <x:c r="I47" s="39" t="str">
        <x:v>Wheel_Report_Sep_2026_Demo.xlsx</x:v>
      </x:c>
      <x:c r="J47" s="39" t="str">
        <x:v>Synthetic</x:v>
      </x:c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9" t="str">
        <x:v>VEH-045</x:v>
      </x:c>
      <x:c r="B48" s="40" t="n">
        <x:v>46271</x:v>
      </x:c>
      <x:c r="C48" s="39" t="str">
        <x:v>Indore Area</x:v>
      </x:c>
      <x:c r="D48" s="39" t="str">
        <x:v>Betma</x:v>
      </x:c>
      <x:c r="E48" s="46" t="n">
        <x:v>36</x:v>
      </x:c>
      <x:c r="F48" s="46" t="n">
        <x:v>14</x:v>
      </x:c>
      <x:c r="G48" s="46" t="n">
        <x:f>E48+F48</x:f>
        <x:v>50</x:v>
      </x:c>
      <x:c r="H48" s="39" t="str">
        <x:v>Excel</x:v>
      </x:c>
      <x:c r="I48" s="39" t="str">
        <x:v>Wheel_Report_Sep_2026_Demo.xlsx</x:v>
      </x:c>
      <x:c r="J48" s="39" t="str">
        <x:v>Synthetic</x:v>
      </x:c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9" t="str">
        <x:v>VEH-046</x:v>
      </x:c>
      <x:c r="B49" s="40" t="n">
        <x:v>46278</x:v>
      </x:c>
      <x:c r="C49" s="39" t="str">
        <x:v>Indore Area</x:v>
      </x:c>
      <x:c r="D49" s="39" t="str">
        <x:v>Betma</x:v>
      </x:c>
      <x:c r="E49" s="46" t="n">
        <x:v>39</x:v>
      </x:c>
      <x:c r="F49" s="46" t="n">
        <x:v>15</x:v>
      </x:c>
      <x:c r="G49" s="46" t="n">
        <x:f>E49+F49</x:f>
        <x:v>54</x:v>
      </x:c>
      <x:c r="H49" s="39" t="str">
        <x:v>Excel</x:v>
      </x:c>
      <x:c r="I49" s="39" t="str">
        <x:v>Wheel_Report_Sep_2026_Demo.xlsx</x:v>
      </x:c>
      <x:c r="J49" s="39" t="str">
        <x:v>Synthetic</x:v>
      </x:c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9" t="str">
        <x:v>VEH-047</x:v>
      </x:c>
      <x:c r="B50" s="40" t="n">
        <x:v>46285</x:v>
      </x:c>
      <x:c r="C50" s="39" t="str">
        <x:v>Indore Area</x:v>
      </x:c>
      <x:c r="D50" s="39" t="str">
        <x:v>Betma</x:v>
      </x:c>
      <x:c r="E50" s="46" t="n">
        <x:v>42</x:v>
      </x:c>
      <x:c r="F50" s="46" t="n">
        <x:v>16</x:v>
      </x:c>
      <x:c r="G50" s="46" t="n">
        <x:f>E50+F50</x:f>
        <x:v>58</x:v>
      </x:c>
      <x:c r="H50" s="39" t="str">
        <x:v>Excel</x:v>
      </x:c>
      <x:c r="I50" s="39" t="str">
        <x:v>Wheel_Report_Sep_2026_Demo.xlsx</x:v>
      </x:c>
      <x:c r="J50" s="39" t="str">
        <x:v>Synthetic</x:v>
      </x:c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9" t="str">
        <x:v>VEH-048</x:v>
      </x:c>
      <x:c r="B51" s="40" t="n">
        <x:v>46292</x:v>
      </x:c>
      <x:c r="C51" s="39" t="str">
        <x:v>Indore Area</x:v>
      </x:c>
      <x:c r="D51" s="39" t="str">
        <x:v>Betma</x:v>
      </x:c>
      <x:c r="E51" s="46" t="n">
        <x:v>45</x:v>
      </x:c>
      <x:c r="F51" s="46" t="n">
        <x:v>14</x:v>
      </x:c>
      <x:c r="G51" s="46" t="n">
        <x:f>E51+F51</x:f>
        <x:v>59</x:v>
      </x:c>
      <x:c r="H51" s="39" t="str">
        <x:v>Excel</x:v>
      </x:c>
      <x:c r="I51" s="39" t="str">
        <x:v>Wheel_Report_Sep_2026_Demo.xlsx</x:v>
      </x:c>
      <x:c r="J51" s="39" t="str">
        <x:v>Synthetic</x:v>
      </x:c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9" t="str">
        <x:v>VEH-049</x:v>
      </x:c>
      <x:c r="B52" s="40" t="n">
        <x:v>46271</x:v>
      </x:c>
      <x:c r="C52" s="39" t="str">
        <x:v>Indore Area</x:v>
      </x:c>
      <x:c r="D52" s="39" t="str">
        <x:v>Semliyachau</x:v>
      </x:c>
      <x:c r="E52" s="46" t="n">
        <x:v>41</x:v>
      </x:c>
      <x:c r="F52" s="46" t="n">
        <x:v>16</x:v>
      </x:c>
      <x:c r="G52" s="46" t="n">
        <x:f>E52+F52</x:f>
        <x:v>57</x:v>
      </x:c>
      <x:c r="H52" s="39" t="str">
        <x:v>Excel</x:v>
      </x:c>
      <x:c r="I52" s="39" t="str">
        <x:v>Wheel_Report_Sep_2026_Demo.xlsx</x:v>
      </x:c>
      <x:c r="J52" s="39" t="str">
        <x:v>Synthetic</x:v>
      </x:c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9" t="str">
        <x:v>VEH-050</x:v>
      </x:c>
      <x:c r="B53" s="40" t="n">
        <x:v>46278</x:v>
      </x:c>
      <x:c r="C53" s="39" t="str">
        <x:v>Indore Area</x:v>
      </x:c>
      <x:c r="D53" s="39" t="str">
        <x:v>Semliyachau</x:v>
      </x:c>
      <x:c r="E53" s="46" t="n">
        <x:v>44</x:v>
      </x:c>
      <x:c r="F53" s="46" t="n">
        <x:v>17</x:v>
      </x:c>
      <x:c r="G53" s="46" t="n">
        <x:f>E53+F53</x:f>
        <x:v>61</x:v>
      </x:c>
      <x:c r="H53" s="39" t="str">
        <x:v>Excel</x:v>
      </x:c>
      <x:c r="I53" s="39" t="str">
        <x:v>Wheel_Report_Sep_2026_Demo.xlsx</x:v>
      </x:c>
      <x:c r="J53" s="39" t="str">
        <x:v>Synthetic</x:v>
      </x:c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9" t="str">
        <x:v>VEH-051</x:v>
      </x:c>
      <x:c r="B54" s="40" t="n">
        <x:v>46285</x:v>
      </x:c>
      <x:c r="C54" s="39" t="str">
        <x:v>Indore Area</x:v>
      </x:c>
      <x:c r="D54" s="39" t="str">
        <x:v>Semliyachau</x:v>
      </x:c>
      <x:c r="E54" s="46" t="n">
        <x:v>47</x:v>
      </x:c>
      <x:c r="F54" s="46" t="n">
        <x:v>18</x:v>
      </x:c>
      <x:c r="G54" s="46" t="n">
        <x:f>E54+F54</x:f>
        <x:v>65</x:v>
      </x:c>
      <x:c r="H54" s="39" t="str">
        <x:v>Excel</x:v>
      </x:c>
      <x:c r="I54" s="39" t="str">
        <x:v>Wheel_Report_Sep_2026_Demo.xlsx</x:v>
      </x:c>
      <x:c r="J54" s="39" t="str">
        <x:v>Synthetic</x:v>
      </x:c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9" t="str">
        <x:v>VEH-052</x:v>
      </x:c>
      <x:c r="B55" s="40" t="n">
        <x:v>46292</x:v>
      </x:c>
      <x:c r="C55" s="39" t="str">
        <x:v>Indore Area</x:v>
      </x:c>
      <x:c r="D55" s="39" t="str">
        <x:v>Semliyachau</x:v>
      </x:c>
      <x:c r="E55" s="46" t="n">
        <x:v>50</x:v>
      </x:c>
      <x:c r="F55" s="46" t="n">
        <x:v>16</x:v>
      </x:c>
      <x:c r="G55" s="46" t="n">
        <x:f>E55+F55</x:f>
        <x:v>66</x:v>
      </x:c>
      <x:c r="H55" s="39" t="str">
        <x:v>Excel</x:v>
      </x:c>
      <x:c r="I55" s="39" t="str">
        <x:v>Wheel_Report_Sep_2026_Demo.xlsx</x:v>
      </x:c>
      <x:c r="J55" s="39" t="str">
        <x:v>Synthetic</x:v>
      </x:c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9" t="str">
        <x:v>VEH-053</x:v>
      </x:c>
      <x:c r="B56" s="40" t="n">
        <x:v>46271</x:v>
      </x:c>
      <x:c r="C56" s="39" t="str">
        <x:v>Indore Area</x:v>
      </x:c>
      <x:c r="D56" s="39" t="str">
        <x:v>Tarana</x:v>
      </x:c>
      <x:c r="E56" s="46" t="n">
        <x:v>46</x:v>
      </x:c>
      <x:c r="F56" s="46" t="n">
        <x:v>18</x:v>
      </x:c>
      <x:c r="G56" s="46" t="n">
        <x:f>E56+F56</x:f>
        <x:v>64</x:v>
      </x:c>
      <x:c r="H56" s="39" t="str">
        <x:v>Excel</x:v>
      </x:c>
      <x:c r="I56" s="39" t="str">
        <x:v>Wheel_Report_Sep_2026_Demo.xlsx</x:v>
      </x:c>
      <x:c r="J56" s="39" t="str">
        <x:v>Synthetic</x:v>
      </x:c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9" t="str">
        <x:v>VEH-054</x:v>
      </x:c>
      <x:c r="B57" s="40" t="n">
        <x:v>46278</x:v>
      </x:c>
      <x:c r="C57" s="39" t="str">
        <x:v>Indore Area</x:v>
      </x:c>
      <x:c r="D57" s="39" t="str">
        <x:v>Tarana</x:v>
      </x:c>
      <x:c r="E57" s="46" t="n">
        <x:v>49</x:v>
      </x:c>
      <x:c r="F57" s="46" t="n">
        <x:v>19</x:v>
      </x:c>
      <x:c r="G57" s="46" t="n">
        <x:f>E57+F57</x:f>
        <x:v>68</x:v>
      </x:c>
      <x:c r="H57" s="39" t="str">
        <x:v>Excel</x:v>
      </x:c>
      <x:c r="I57" s="39" t="str">
        <x:v>Wheel_Report_Sep_2026_Demo.xlsx</x:v>
      </x:c>
      <x:c r="J57" s="39" t="str">
        <x:v>Synthetic</x:v>
      </x:c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9" t="str">
        <x:v>VEH-055</x:v>
      </x:c>
      <x:c r="B58" s="40" t="n">
        <x:v>46285</x:v>
      </x:c>
      <x:c r="C58" s="39" t="str">
        <x:v>Indore Area</x:v>
      </x:c>
      <x:c r="D58" s="39" t="str">
        <x:v>Tarana</x:v>
      </x:c>
      <x:c r="E58" s="46" t="n">
        <x:v>52</x:v>
      </x:c>
      <x:c r="F58" s="46" t="n">
        <x:v>20</x:v>
      </x:c>
      <x:c r="G58" s="46" t="n">
        <x:f>E58+F58</x:f>
        <x:v>72</x:v>
      </x:c>
      <x:c r="H58" s="39" t="str">
        <x:v>Excel</x:v>
      </x:c>
      <x:c r="I58" s="39" t="str">
        <x:v>Wheel_Report_Sep_2026_Demo.xlsx</x:v>
      </x:c>
      <x:c r="J58" s="39" t="str">
        <x:v>Synthetic</x:v>
      </x:c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9" t="str">
        <x:v>VEH-056</x:v>
      </x:c>
      <x:c r="B59" s="40" t="n">
        <x:v>46292</x:v>
      </x:c>
      <x:c r="C59" s="39" t="str">
        <x:v>Indore Area</x:v>
      </x:c>
      <x:c r="D59" s="39" t="str">
        <x:v>Tarana</x:v>
      </x:c>
      <x:c r="E59" s="46" t="n">
        <x:v>55</x:v>
      </x:c>
      <x:c r="F59" s="46" t="n">
        <x:v>18</x:v>
      </x:c>
      <x:c r="G59" s="46" t="n">
        <x:f>E59+F59</x:f>
        <x:v>73</x:v>
      </x:c>
      <x:c r="H59" s="39" t="str">
        <x:v>Excel</x:v>
      </x:c>
      <x:c r="I59" s="39" t="str">
        <x:v>Wheel_Report_Sep_2026_Demo.xlsx</x:v>
      </x:c>
      <x:c r="J59" s="39" t="str">
        <x:v>Synthetic</x:v>
      </x:c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9" t="str">
        <x:v>VEH-057</x:v>
      </x:c>
      <x:c r="B60" s="40" t="n">
        <x:v>46271</x:v>
      </x:c>
      <x:c r="C60" s="39" t="str">
        <x:v>Indore Area</x:v>
      </x:c>
      <x:c r="D60" s="39" t="str">
        <x:v>Badodia Khan</x:v>
      </x:c>
      <x:c r="E60" s="46" t="n">
        <x:v>51</x:v>
      </x:c>
      <x:c r="F60" s="46" t="n">
        <x:v>20</x:v>
      </x:c>
      <x:c r="G60" s="46" t="n">
        <x:f>E60+F60</x:f>
        <x:v>71</x:v>
      </x:c>
      <x:c r="H60" s="39" t="str">
        <x:v>Excel</x:v>
      </x:c>
      <x:c r="I60" s="39" t="str">
        <x:v>Wheel_Report_Sep_2026_Demo.xlsx</x:v>
      </x:c>
      <x:c r="J60" s="39" t="str">
        <x:v>Synthetic</x:v>
      </x:c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9" t="str">
        <x:v>VEH-058</x:v>
      </x:c>
      <x:c r="B61" s="40" t="n">
        <x:v>46278</x:v>
      </x:c>
      <x:c r="C61" s="39" t="str">
        <x:v>Indore Area</x:v>
      </x:c>
      <x:c r="D61" s="39" t="str">
        <x:v>Badodia Khan</x:v>
      </x:c>
      <x:c r="E61" s="46" t="n">
        <x:v>54</x:v>
      </x:c>
      <x:c r="F61" s="46" t="n">
        <x:v>21</x:v>
      </x:c>
      <x:c r="G61" s="46" t="n">
        <x:f>E61+F61</x:f>
        <x:v>75</x:v>
      </x:c>
      <x:c r="H61" s="39" t="str">
        <x:v>Excel</x:v>
      </x:c>
      <x:c r="I61" s="39" t="str">
        <x:v>Wheel_Report_Sep_2026_Demo.xlsx</x:v>
      </x:c>
      <x:c r="J61" s="39" t="str">
        <x:v>Synthetic</x:v>
      </x:c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9" t="str">
        <x:v>VEH-059</x:v>
      </x:c>
      <x:c r="B62" s="40" t="n">
        <x:v>46285</x:v>
      </x:c>
      <x:c r="C62" s="39" t="str">
        <x:v>Indore Area</x:v>
      </x:c>
      <x:c r="D62" s="39" t="str">
        <x:v>Badodia Khan</x:v>
      </x:c>
      <x:c r="E62" s="46" t="n">
        <x:v>57</x:v>
      </x:c>
      <x:c r="F62" s="46" t="n">
        <x:v>22</x:v>
      </x:c>
      <x:c r="G62" s="46" t="n">
        <x:f>E62+F62</x:f>
        <x:v>79</x:v>
      </x:c>
      <x:c r="H62" s="39" t="str">
        <x:v>Excel</x:v>
      </x:c>
      <x:c r="I62" s="39" t="str">
        <x:v>Wheel_Report_Sep_2026_Demo.xlsx</x:v>
      </x:c>
      <x:c r="J62" s="39" t="str">
        <x:v>Synthetic</x:v>
      </x:c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9" t="str">
        <x:v>VEH-060</x:v>
      </x:c>
      <x:c r="B63" s="40" t="n">
        <x:v>46292</x:v>
      </x:c>
      <x:c r="C63" s="39" t="str">
        <x:v>Indore Area</x:v>
      </x:c>
      <x:c r="D63" s="39" t="str">
        <x:v>Badodia Khan</x:v>
      </x:c>
      <x:c r="E63" s="46" t="n">
        <x:v>60</x:v>
      </x:c>
      <x:c r="F63" s="46" t="n">
        <x:v>20</x:v>
      </x:c>
      <x:c r="G63" s="46" t="n">
        <x:f>E63+F63</x:f>
        <x:v>80</x:v>
      </x:c>
      <x:c r="H63" s="39" t="str">
        <x:v>Excel</x:v>
      </x:c>
      <x:c r="I63" s="39" t="str">
        <x:v>Wheel_Report_Sep_2026_Demo.xlsx</x:v>
      </x:c>
      <x:c r="J63" s="39" t="str">
        <x:v>Synthetic</x:v>
      </x:c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9" t="str">
        <x:v>VEH-061</x:v>
      </x:c>
      <x:c r="B64" s="40" t="n">
        <x:v>46271</x:v>
      </x:c>
      <x:c r="C64" s="39" t="str">
        <x:v>Indore Area</x:v>
      </x:c>
      <x:c r="D64" s="39" t="str">
        <x:v>Ajnod</x:v>
      </x:c>
      <x:c r="E64" s="46" t="n">
        <x:v>56</x:v>
      </x:c>
      <x:c r="F64" s="46" t="n">
        <x:v>22</x:v>
      </x:c>
      <x:c r="G64" s="46" t="n">
        <x:f>E64+F64</x:f>
        <x:v>78</x:v>
      </x:c>
      <x:c r="H64" s="39" t="str">
        <x:v>Excel</x:v>
      </x:c>
      <x:c r="I64" s="39" t="str">
        <x:v>Wheel_Report_Sep_2026_Demo.xlsx</x:v>
      </x:c>
      <x:c r="J64" s="39" t="str">
        <x:v>Synthetic</x:v>
      </x:c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9" t="str">
        <x:v>VEH-062</x:v>
      </x:c>
      <x:c r="B65" s="40" t="n">
        <x:v>46278</x:v>
      </x:c>
      <x:c r="C65" s="39" t="str">
        <x:v>Indore Area</x:v>
      </x:c>
      <x:c r="D65" s="39" t="str">
        <x:v>Ajnod</x:v>
      </x:c>
      <x:c r="E65" s="46" t="n">
        <x:v>59</x:v>
      </x:c>
      <x:c r="F65" s="46" t="n">
        <x:v>23</x:v>
      </x:c>
      <x:c r="G65" s="46" t="n">
        <x:f>E65+F65</x:f>
        <x:v>82</x:v>
      </x:c>
      <x:c r="H65" s="39" t="str">
        <x:v>Excel</x:v>
      </x:c>
      <x:c r="I65" s="39" t="str">
        <x:v>Wheel_Report_Sep_2026_Demo.xlsx</x:v>
      </x:c>
      <x:c r="J65" s="39" t="str">
        <x:v>Synthetic</x:v>
      </x:c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9" t="str">
        <x:v>VEH-063</x:v>
      </x:c>
      <x:c r="B66" s="40" t="n">
        <x:v>46285</x:v>
      </x:c>
      <x:c r="C66" s="39" t="str">
        <x:v>Indore Area</x:v>
      </x:c>
      <x:c r="D66" s="39" t="str">
        <x:v>Ajnod</x:v>
      </x:c>
      <x:c r="E66" s="46" t="n">
        <x:v>62</x:v>
      </x:c>
      <x:c r="F66" s="46" t="n">
        <x:v>24</x:v>
      </x:c>
      <x:c r="G66" s="46" t="n">
        <x:f>E66+F66</x:f>
        <x:v>86</x:v>
      </x:c>
      <x:c r="H66" s="39" t="str">
        <x:v>Excel</x:v>
      </x:c>
      <x:c r="I66" s="39" t="str">
        <x:v>Wheel_Report_Sep_2026_Demo.xlsx</x:v>
      </x:c>
      <x:c r="J66" s="39" t="str">
        <x:v>Synthetic</x:v>
      </x:c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9" t="str">
        <x:v>VEH-064</x:v>
      </x:c>
      <x:c r="B67" s="40" t="n">
        <x:v>46292</x:v>
      </x:c>
      <x:c r="C67" s="39" t="str">
        <x:v>Indore Area</x:v>
      </x:c>
      <x:c r="D67" s="39" t="str">
        <x:v>Ajnod</x:v>
      </x:c>
      <x:c r="E67" s="46" t="n">
        <x:v>65</x:v>
      </x:c>
      <x:c r="F67" s="46" t="n">
        <x:v>22</x:v>
      </x:c>
      <x:c r="G67" s="46" t="n">
        <x:f>E67+F67</x:f>
        <x:v>87</x:v>
      </x:c>
      <x:c r="H67" s="39" t="str">
        <x:v>Excel</x:v>
      </x:c>
      <x:c r="I67" s="39" t="str">
        <x:v>Wheel_Report_Sep_2026_Demo.xlsx</x:v>
      </x:c>
      <x:c r="J67" s="39" t="str">
        <x:v>Synthetic</x:v>
      </x:c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9" t="str">
        <x:v>VEH-065</x:v>
      </x:c>
      <x:c r="B68" s="40" t="n">
        <x:v>46271</x:v>
      </x:c>
      <x:c r="C68" s="39" t="str">
        <x:v>Indore Area</x:v>
      </x:c>
      <x:c r="D68" s="39" t="str">
        <x:v>Takun</x:v>
      </x:c>
      <x:c r="E68" s="46" t="n">
        <x:v>61</x:v>
      </x:c>
      <x:c r="F68" s="46" t="n">
        <x:v>8</x:v>
      </x:c>
      <x:c r="G68" s="46" t="n">
        <x:f>E68+F68</x:f>
        <x:v>69</x:v>
      </x:c>
      <x:c r="H68" s="39" t="str">
        <x:v>Excel</x:v>
      </x:c>
      <x:c r="I68" s="39" t="str">
        <x:v>Wheel_Report_Sep_2026_Demo.xlsx</x:v>
      </x:c>
      <x:c r="J68" s="39" t="str">
        <x:v>Synthetic</x:v>
      </x:c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9" t="str">
        <x:v>VEH-066</x:v>
      </x:c>
      <x:c r="B69" s="40" t="n">
        <x:v>46278</x:v>
      </x:c>
      <x:c r="C69" s="39" t="str">
        <x:v>Indore Area</x:v>
      </x:c>
      <x:c r="D69" s="39" t="str">
        <x:v>Takun</x:v>
      </x:c>
      <x:c r="E69" s="46" t="n">
        <x:v>64</x:v>
      </x:c>
      <x:c r="F69" s="46" t="n">
        <x:v>9</x:v>
      </x:c>
      <x:c r="G69" s="46" t="n">
        <x:f>E69+F69</x:f>
        <x:v>73</x:v>
      </x:c>
      <x:c r="H69" s="39" t="str">
        <x:v>Excel</x:v>
      </x:c>
      <x:c r="I69" s="39" t="str">
        <x:v>Wheel_Report_Sep_2026_Demo.xlsx</x:v>
      </x:c>
      <x:c r="J69" s="39" t="str">
        <x:v>Synthetic</x:v>
      </x:c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9" t="str">
        <x:v>VEH-067</x:v>
      </x:c>
      <x:c r="B70" s="40" t="n">
        <x:v>46285</x:v>
      </x:c>
      <x:c r="C70" s="39" t="str">
        <x:v>Indore Area</x:v>
      </x:c>
      <x:c r="D70" s="39" t="str">
        <x:v>Takun</x:v>
      </x:c>
      <x:c r="E70" s="46" t="n">
        <x:v>67</x:v>
      </x:c>
      <x:c r="F70" s="46" t="n">
        <x:v>10</x:v>
      </x:c>
      <x:c r="G70" s="46" t="n">
        <x:f>E70+F70</x:f>
        <x:v>77</x:v>
      </x:c>
      <x:c r="H70" s="39" t="str">
        <x:v>Excel</x:v>
      </x:c>
      <x:c r="I70" s="39" t="str">
        <x:v>Wheel_Report_Sep_2026_Demo.xlsx</x:v>
      </x:c>
      <x:c r="J70" s="39" t="str">
        <x:v>Synthetic</x:v>
      </x:c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9" t="str">
        <x:v>VEH-068</x:v>
      </x:c>
      <x:c r="B71" s="40" t="n">
        <x:v>46292</x:v>
      </x:c>
      <x:c r="C71" s="39" t="str">
        <x:v>Indore Area</x:v>
      </x:c>
      <x:c r="D71" s="39" t="str">
        <x:v>Takun</x:v>
      </x:c>
      <x:c r="E71" s="46" t="n">
        <x:v>70</x:v>
      </x:c>
      <x:c r="F71" s="46" t="n">
        <x:v>8</x:v>
      </x:c>
      <x:c r="G71" s="46" t="n">
        <x:f>E71+F71</x:f>
        <x:v>78</x:v>
      </x:c>
      <x:c r="H71" s="39" t="str">
        <x:v>Excel</x:v>
      </x:c>
      <x:c r="I71" s="39" t="str">
        <x:v>Wheel_Report_Sep_2026_Demo.xlsx</x:v>
      </x:c>
      <x:c r="J71" s="39" t="str">
        <x:v>Synthetic</x:v>
      </x:c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9" t="str">
        <x:v>VEH-069</x:v>
      </x:c>
      <x:c r="B72" s="40" t="n">
        <x:v>46271</x:v>
      </x:c>
      <x:c r="C72" s="39" t="str">
        <x:v>Indore Area</x:v>
      </x:c>
      <x:c r="D72" s="39" t="str">
        <x:v>Potlod</x:v>
      </x:c>
      <x:c r="E72" s="46" t="n">
        <x:v>66</x:v>
      </x:c>
      <x:c r="F72" s="46" t="n">
        <x:v>10</x:v>
      </x:c>
      <x:c r="G72" s="46" t="n">
        <x:f>E72+F72</x:f>
        <x:v>76</x:v>
      </x:c>
      <x:c r="H72" s="39" t="str">
        <x:v>Excel</x:v>
      </x:c>
      <x:c r="I72" s="39" t="str">
        <x:v>Wheel_Report_Sep_2026_Demo.xlsx</x:v>
      </x:c>
      <x:c r="J72" s="39" t="str">
        <x:v>Synthetic</x:v>
      </x:c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9" t="str">
        <x:v>VEH-070</x:v>
      </x:c>
      <x:c r="B73" s="40" t="n">
        <x:v>46278</x:v>
      </x:c>
      <x:c r="C73" s="39" t="str">
        <x:v>Indore Area</x:v>
      </x:c>
      <x:c r="D73" s="39" t="str">
        <x:v>Potlod</x:v>
      </x:c>
      <x:c r="E73" s="46" t="n">
        <x:v>69</x:v>
      </x:c>
      <x:c r="F73" s="46" t="n">
        <x:v>11</x:v>
      </x:c>
      <x:c r="G73" s="46" t="n">
        <x:f>E73+F73</x:f>
        <x:v>80</x:v>
      </x:c>
      <x:c r="H73" s="39" t="str">
        <x:v>Excel</x:v>
      </x:c>
      <x:c r="I73" s="39" t="str">
        <x:v>Wheel_Report_Sep_2026_Demo.xlsx</x:v>
      </x:c>
      <x:c r="J73" s="39" t="str">
        <x:v>Synthetic</x:v>
      </x:c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9" t="str">
        <x:v>VEH-071</x:v>
      </x:c>
      <x:c r="B74" s="40" t="n">
        <x:v>46285</x:v>
      </x:c>
      <x:c r="C74" s="39" t="str">
        <x:v>Indore Area</x:v>
      </x:c>
      <x:c r="D74" s="39" t="str">
        <x:v>Potlod</x:v>
      </x:c>
      <x:c r="E74" s="46" t="n">
        <x:v>72</x:v>
      </x:c>
      <x:c r="F74" s="46" t="n">
        <x:v>12</x:v>
      </x:c>
      <x:c r="G74" s="46" t="n">
        <x:f>E74+F74</x:f>
        <x:v>84</x:v>
      </x:c>
      <x:c r="H74" s="39" t="str">
        <x:v>Excel</x:v>
      </x:c>
      <x:c r="I74" s="39" t="str">
        <x:v>Wheel_Report_Sep_2026_Demo.xlsx</x:v>
      </x:c>
      <x:c r="J74" s="39" t="str">
        <x:v>Synthetic</x:v>
      </x:c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9" t="str">
        <x:v>VEH-072</x:v>
      </x:c>
      <x:c r="B75" s="40" t="n">
        <x:v>46292</x:v>
      </x:c>
      <x:c r="C75" s="39" t="str">
        <x:v>Indore Area</x:v>
      </x:c>
      <x:c r="D75" s="39" t="str">
        <x:v>Potlod</x:v>
      </x:c>
      <x:c r="E75" s="46" t="n">
        <x:v>75</x:v>
      </x:c>
      <x:c r="F75" s="46" t="n">
        <x:v>10</x:v>
      </x:c>
      <x:c r="G75" s="46" t="n">
        <x:f>E75+F75</x:f>
        <x:v>85</x:v>
      </x:c>
      <x:c r="H75" s="39" t="str">
        <x:v>Excel</x:v>
      </x:c>
      <x:c r="I75" s="39" t="str">
        <x:v>Wheel_Report_Sep_2026_Demo.xlsx</x:v>
      </x:c>
      <x:c r="J75" s="39" t="str">
        <x:v>Synthetic</x:v>
      </x:c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9" t="str">
        <x:v>VEH-073</x:v>
      </x:c>
      <x:c r="B76" s="40" t="n">
        <x:v>46271</x:v>
      </x:c>
      <x:c r="C76" s="39" t="str">
        <x:v>Indore Area</x:v>
      </x:c>
      <x:c r="D76" s="39" t="str">
        <x:v>Pivday</x:v>
      </x:c>
      <x:c r="E76" s="46" t="n">
        <x:v>28</x:v>
      </x:c>
      <x:c r="F76" s="46" t="n">
        <x:v>12</x:v>
      </x:c>
      <x:c r="G76" s="46" t="n">
        <x:f>E76+F76</x:f>
        <x:v>40</x:v>
      </x:c>
      <x:c r="H76" s="39" t="str">
        <x:v>Excel</x:v>
      </x:c>
      <x:c r="I76" s="39" t="str">
        <x:v>Wheel_Report_Sep_2026_Demo.xlsx</x:v>
      </x:c>
      <x:c r="J76" s="39" t="str">
        <x:v>Synthetic</x:v>
      </x:c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9" t="str">
        <x:v>VEH-074</x:v>
      </x:c>
      <x:c r="B77" s="40" t="n">
        <x:v>46278</x:v>
      </x:c>
      <x:c r="C77" s="39" t="str">
        <x:v>Indore Area</x:v>
      </x:c>
      <x:c r="D77" s="39" t="str">
        <x:v>Pivday</x:v>
      </x:c>
      <x:c r="E77" s="46" t="n">
        <x:v>31</x:v>
      </x:c>
      <x:c r="F77" s="46" t="n">
        <x:v>13</x:v>
      </x:c>
      <x:c r="G77" s="46" t="n">
        <x:f>E77+F77</x:f>
        <x:v>44</x:v>
      </x:c>
      <x:c r="H77" s="39" t="str">
        <x:v>Excel</x:v>
      </x:c>
      <x:c r="I77" s="39" t="str">
        <x:v>Wheel_Report_Sep_2026_Demo.xlsx</x:v>
      </x:c>
      <x:c r="J77" s="39" t="str">
        <x:v>Synthetic</x:v>
      </x:c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9" t="str">
        <x:v>VEH-075</x:v>
      </x:c>
      <x:c r="B78" s="40" t="n">
        <x:v>46285</x:v>
      </x:c>
      <x:c r="C78" s="39" t="str">
        <x:v>Indore Area</x:v>
      </x:c>
      <x:c r="D78" s="39" t="str">
        <x:v>Pivday</x:v>
      </x:c>
      <x:c r="E78" s="46" t="n">
        <x:v>34</x:v>
      </x:c>
      <x:c r="F78" s="46" t="n">
        <x:v>14</x:v>
      </x:c>
      <x:c r="G78" s="46" t="n">
        <x:f>E78+F78</x:f>
        <x:v>48</x:v>
      </x:c>
      <x:c r="H78" s="39" t="str">
        <x:v>Excel</x:v>
      </x:c>
      <x:c r="I78" s="39" t="str">
        <x:v>Wheel_Report_Sep_2026_Demo.xlsx</x:v>
      </x:c>
      <x:c r="J78" s="39" t="str">
        <x:v>Synthetic</x:v>
      </x:c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9" t="str">
        <x:v>VEH-076</x:v>
      </x:c>
      <x:c r="B79" s="40" t="n">
        <x:v>46292</x:v>
      </x:c>
      <x:c r="C79" s="39" t="str">
        <x:v>Indore Area</x:v>
      </x:c>
      <x:c r="D79" s="39" t="str">
        <x:v>Pivday</x:v>
      </x:c>
      <x:c r="E79" s="46" t="n">
        <x:v>37</x:v>
      </x:c>
      <x:c r="F79" s="46" t="n">
        <x:v>12</x:v>
      </x:c>
      <x:c r="G79" s="46" t="n">
        <x:f>E79+F79</x:f>
        <x:v>49</x:v>
      </x:c>
      <x:c r="H79" s="39" t="str">
        <x:v>Excel</x:v>
      </x:c>
      <x:c r="I79" s="39" t="str">
        <x:v>Wheel_Report_Sep_2026_Demo.xlsx</x:v>
      </x:c>
      <x:c r="J79" s="39" t="str">
        <x:v>Synthetic</x:v>
      </x:c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4c7238f952d94c3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18" hidden="0" customWidth="1"/>
    <x:col min="5" max="5" width="36" hidden="0" customWidth="1"/>
    <x:col min="6" max="6" width="12" hidden="0" customWidth="1"/>
    <x:col min="7" max="7" width="22" hidden="0" customWidth="1"/>
    <x:col min="8" max="8" width="14" hidden="0" customWidth="1"/>
    <x:col min="9" max="9" width="24" hidden="0" customWidth="1"/>
    <x:col min="10" max="10" width="14" hidden="0" customWidth="1"/>
  </x:cols>
  <x:sheetData>
    <x:row r="1" ht="28" customHeight="1">
      <x:c r="A1" s="5" t="str">
        <x:v>Report / File Index — Synthetic Test Set</x:v>
      </x:c>
      <x:c r="B1" s="5" t="str">
        <x:v>Report / File Index — Synthetic Test Set</x:v>
      </x:c>
      <x:c r="C1" s="5" t="str">
        <x:v>Report / File Index — Synthetic Test Set</x:v>
      </x:c>
      <x:c r="D1" s="5" t="str">
        <x:v>Report / File Index — Synthetic Test Set</x:v>
      </x:c>
      <x:c r="E1" s="5" t="str">
        <x:v>Report / File Index — Synthetic Test Set</x:v>
      </x:c>
      <x:c r="F1" s="5" t="str">
        <x:v>Report / File Index — Synthetic Test Set</x:v>
      </x:c>
      <x:c r="G1" s="5" t="str">
        <x:v>Report / File Index — Synthetic Test Set</x:v>
      </x:c>
      <x:c r="H1" s="5" t="str">
        <x:v>Report / File Index — Synthetic Test Set</x:v>
      </x:c>
      <x:c r="I1" s="5" t="str">
        <x:v>Report / File Index — Synthetic Test Set</x:v>
      </x:c>
      <x:c r="J1" s="5" t="str">
        <x:v>Report / File Index — Synthetic Test Set</x:v>
      </x:c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7"/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14" t="str">
        <x:v>Report ID</x:v>
      </x:c>
      <x:c r="B3" s="14" t="str">
        <x:v>Report Type</x:v>
      </x:c>
      <x:c r="C3" s="14" t="str">
        <x:v>Month</x:v>
      </x:c>
      <x:c r="D3" s="14" t="str">
        <x:v>Major Center</x:v>
      </x:c>
      <x:c r="E3" s="14" t="str">
        <x:v>File Name</x:v>
      </x:c>
      <x:c r="F3" s="14" t="str">
        <x:v>File Type</x:v>
      </x:c>
      <x:c r="G3" s="14" t="str">
        <x:v>Coverage</x:v>
      </x:c>
      <x:c r="H3" s="14" t="str">
        <x:v>Status</x:v>
      </x:c>
      <x:c r="I3" s="14" t="str">
        <x:v>Source Location</x:v>
      </x:c>
      <x:c r="J3" s="14" t="str">
        <x:v>Data Origin</x:v>
      </x:c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9" t="str">
        <x:v>REP-001</x:v>
      </x:c>
      <x:c r="B4" s="39" t="str">
        <x:v>Monthly Attendance</x:v>
      </x:c>
      <x:c r="C4" s="39" t="str">
        <x:v>September 2026</x:v>
      </x:c>
      <x:c r="D4" s="39" t="str">
        <x:v>Indore Area</x:v>
      </x:c>
      <x:c r="E4" s="39" t="str">
        <x:v>Attendance_Sep_2026_Demo.xlsx</x:v>
      </x:c>
      <x:c r="F4" s="39" t="str">
        <x:v>XLSX</x:v>
      </x:c>
      <x:c r="G4" s="39" t="str">
        <x:v>19 Satsang Ghars</x:v>
      </x:c>
      <x:c r="H4" s="39" t="str">
        <x:v>Ready</x:v>
      </x:c>
      <x:c r="I4" s="39" t="str">
        <x:v>Demo files/Test Data</x:v>
      </x:c>
      <x:c r="J4" s="39" t="str">
        <x:v>Synthetic</x:v>
      </x:c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9" t="str">
        <x:v>REP-002</x:v>
      </x:c>
      <x:c r="B5" s="39" t="str">
        <x:v>SK Report</x:v>
      </x:c>
      <x:c r="C5" s="39" t="str">
        <x:v>September 2026</x:v>
      </x:c>
      <x:c r="D5" s="39" t="str">
        <x:v>Indore Area</x:v>
      </x:c>
      <x:c r="E5" s="39" t="str">
        <x:v>SK_Report_Sep_2026_Demo.xlsx</x:v>
      </x:c>
      <x:c r="F5" s="39" t="str">
        <x:v>XLSX</x:v>
      </x:c>
      <x:c r="G5" s="39" t="str">
        <x:v>19 Satsang Ghars</x:v>
      </x:c>
      <x:c r="H5" s="39" t="str">
        <x:v>Ready</x:v>
      </x:c>
      <x:c r="I5" s="39" t="str">
        <x:v>Demo files/Test Data</x:v>
      </x:c>
      <x:c r="J5" s="39" t="str">
        <x:v>Synthetic</x:v>
      </x:c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9" t="str">
        <x:v>REP-003</x:v>
      </x:c>
      <x:c r="B6" s="39" t="str">
        <x:v>SR Report</x:v>
      </x:c>
      <x:c r="C6" s="39" t="str">
        <x:v>September 2026</x:v>
      </x:c>
      <x:c r="D6" s="39" t="str">
        <x:v>Indore Area</x:v>
      </x:c>
      <x:c r="E6" s="39" t="str">
        <x:v>SR_Report_Sep_2026_Demo.xlsx</x:v>
      </x:c>
      <x:c r="F6" s="39" t="str">
        <x:v>XLSX</x:v>
      </x:c>
      <x:c r="G6" s="39" t="str">
        <x:v>19 Satsang Ghars</x:v>
      </x:c>
      <x:c r="H6" s="39" t="str">
        <x:v>Ready</x:v>
      </x:c>
      <x:c r="I6" s="39" t="str">
        <x:v>Demo files/Test Data</x:v>
      </x:c>
      <x:c r="J6" s="39" t="str">
        <x:v>Synthetic</x:v>
      </x:c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9" t="str">
        <x:v>REP-004</x:v>
      </x:c>
      <x:c r="B7" s="39" t="str">
        <x:v>Wheel Report</x:v>
      </x:c>
      <x:c r="C7" s="39" t="str">
        <x:v>September 2026</x:v>
      </x:c>
      <x:c r="D7" s="39" t="str">
        <x:v>Indore Area</x:v>
      </x:c>
      <x:c r="E7" s="39" t="str">
        <x:v>Wheel_Report_Sep_2026_Demo.xlsx</x:v>
      </x:c>
      <x:c r="F7" s="39" t="str">
        <x:v>XLSX</x:v>
      </x:c>
      <x:c r="G7" s="39" t="str">
        <x:v>19 Satsang Ghars</x:v>
      </x:c>
      <x:c r="H7" s="39" t="str">
        <x:v>Ready</x:v>
      </x:c>
      <x:c r="I7" s="39" t="str">
        <x:v>Demo files/Test Data</x:v>
      </x:c>
      <x:c r="J7" s="39" t="str">
        <x:v>Synthetic</x:v>
      </x:c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9" t="str">
        <x:v>REP-005</x:v>
      </x:c>
      <x:c r="B8" s="39" t="str">
        <x:v>Satsang Assignment</x:v>
      </x:c>
      <x:c r="C8" s="39" t="str">
        <x:v>September 2026</x:v>
      </x:c>
      <x:c r="D8" s="39" t="str">
        <x:v>Indore Area</x:v>
      </x:c>
      <x:c r="E8" s="39" t="str">
        <x:v>sunday 2026 sep (1)_signed.pdf</x:v>
      </x:c>
      <x:c r="F8" s="39" t="str">
        <x:v>PDF</x:v>
      </x:c>
      <x:c r="G8" s="39" t="str">
        <x:v>19 numbered rows</x:v>
      </x:c>
      <x:c r="H8" s="39" t="str">
        <x:v>Reference</x:v>
      </x:c>
      <x:c r="I8" s="39" t="str">
        <x:v>Conversation upload</x:v>
      </x:c>
      <x:c r="J8" s="39" t="str">
        <x:v>PDF-Derived</x:v>
      </x:c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9" t="str">
        <x:v>REP-006</x:v>
      </x:c>
      <x:c r="B9" s="39" t="str">
        <x:v>VIDEO CD Schedule</x:v>
      </x:c>
      <x:c r="C9" s="39" t="str">
        <x:v>September 2026</x:v>
      </x:c>
      <x:c r="D9" s="39" t="str">
        <x:v>Indore Area</x:v>
      </x:c>
      <x:c r="E9" s="39" t="str">
        <x:v>sunday 2026 sep (1)_signed.pdf</x:v>
      </x:c>
      <x:c r="F9" s="39" t="str">
        <x:v>PDF</x:v>
      </x:c>
      <x:c r="G9" s="39" t="str">
        <x:v>CD information</x:v>
      </x:c>
      <x:c r="H9" s="39" t="str">
        <x:v>Reference</x:v>
      </x:c>
      <x:c r="I9" s="39" t="str">
        <x:v>Conversation upload</x:v>
      </x:c>
      <x:c r="J9" s="39" t="str">
        <x:v>PDF-Derived</x:v>
      </x:c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/>
      <x:c r="B10" s="37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/>
      <x:c r="B12" s="37"/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dbdfdb19575f436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4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24" hidden="0" customWidth="1"/>
    <x:col min="8" max="8" width="28" hidden="0" customWidth="1"/>
    <x:col min="9" max="9" width="52" hidden="0" customWidth="1"/>
    <x:col min="10" max="10" width="12" hidden="0" customWidth="1"/>
  </x:cols>
  <x:sheetData>
    <x:row r="1" ht="28" customHeight="1">
      <x:c r="A1" s="5" t="str">
        <x:v>Natural-Language Query Test Cases</x:v>
      </x:c>
      <x:c r="B1" s="5" t="str">
        <x:v>Natural-Language Query Test Cases</x:v>
      </x:c>
      <x:c r="C1" s="5" t="str">
        <x:v>Natural-Language Query Test Cases</x:v>
      </x:c>
      <x:c r="D1" s="5" t="str">
        <x:v>Natural-Language Query Test Cases</x:v>
      </x:c>
      <x:c r="E1" s="5" t="str">
        <x:v>Natural-Language Query Test Cases</x:v>
      </x:c>
      <x:c r="F1" s="5" t="str">
        <x:v>Natural-Language Query Test Cases</x:v>
      </x:c>
      <x:c r="G1" s="5" t="str">
        <x:v>Natural-Language Query Test Cases</x:v>
      </x:c>
      <x:c r="H1" s="5" t="str">
        <x:v>Natural-Language Query Test Cases</x:v>
      </x:c>
      <x:c r="I1" s="5" t="str">
        <x:v>Natural-Language Query Test Cases</x:v>
      </x:c>
      <x:c r="J1" s="5" t="str">
        <x:v>Natural-Language Query Test Cases</x:v>
      </x:c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7"/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14" t="str">
        <x:v>Test ID</x:v>
      </x:c>
      <x:c r="B3" s="14" t="str">
        <x:v>User Question</x:v>
      </x:c>
      <x:c r="C3" s="14" t="str">
        <x:v>Query Type</x:v>
      </x:c>
      <x:c r="D3" s="14" t="str">
        <x:v>Date Filter</x:v>
      </x:c>
      <x:c r="E3" s="14" t="str">
        <x:v>Location Filter</x:v>
      </x:c>
      <x:c r="F3" s="14" t="str">
        <x:v>Person Filter</x:v>
      </x:c>
      <x:c r="G3" s="14" t="str">
        <x:v>Metric / Operation</x:v>
      </x:c>
      <x:c r="H3" s="14" t="str">
        <x:v>Expected Source</x:v>
      </x:c>
      <x:c r="I3" s="14" t="str">
        <x:v>Expected Behaviour</x:v>
      </x:c>
      <x:c r="J3" s="14" t="str">
        <x:v>Priority</x:v>
      </x:c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9" t="str">
        <x:v>Q-001</x:v>
      </x:c>
      <x:c r="B4" s="39" t="str">
        <x:v>13 September ko Sukhliya mein kaun tha?</x:v>
      </x:c>
      <x:c r="C4" s="39" t="str">
        <x:v>Find</x:v>
      </x:c>
      <x:c r="D4" s="39" t="str">
        <x:v>13 Sep 2026</x:v>
      </x:c>
      <x:c r="E4" s="39" t="str">
        <x:v>Sukhliya</x:v>
      </x:c>
      <x:c r="F4" s="39" t="str"/>
      <x:c r="G4" s="39" t="str">
        <x:v>Return matching person</x:v>
      </x:c>
      <x:c r="H4" s="39" t="str">
        <x:v>Assignment_Demo / PDF source</x:v>
      </x:c>
      <x:c r="I4" s="39" t="str">
        <x:v>Find exact date + location; show person + source.</x:v>
      </x:c>
      <x:c r="J4" s="39" t="str">
        <x:v>High</x:v>
      </x:c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9" t="str">
        <x:v>Q-002</x:v>
      </x:c>
      <x:c r="B5" s="39" t="str">
        <x:v>September mein Sukhliya ki attendance average kya hai?</x:v>
      </x:c>
      <x:c r="C5" s="39" t="str">
        <x:v>Average</x:v>
      </x:c>
      <x:c r="D5" s="39" t="str">
        <x:v>September 2026</x:v>
      </x:c>
      <x:c r="E5" s="39" t="str">
        <x:v>Sukhliya</x:v>
      </x:c>
      <x:c r="F5" s="39" t="str"/>
      <x:c r="G5" s="39" t="str">
        <x:v>AVERAGE Attendance</x:v>
      </x:c>
      <x:c r="H5" s="39" t="str">
        <x:v>Attendance_Demo</x:v>
      </x:c>
      <x:c r="I5" s="39" t="str">
        <x:v>Filter location + month, calculate actual numeric average.</x:v>
      </x:c>
      <x:c r="J5" s="39" t="str">
        <x:v>High</x:v>
      </x:c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9" t="str">
        <x:v>Q-003</x:v>
      </x:c>
      <x:c r="B6" s="39" t="str">
        <x:v>13 September ko 2-wheeler kitne the?</x:v>
      </x:c>
      <x:c r="C6" s="39" t="str">
        <x:v>Lookup</x:v>
      </x:c>
      <x:c r="D6" s="39" t="str">
        <x:v>13 Sep 2026</x:v>
      </x:c>
      <x:c r="E6" s="39" t="str"/>
      <x:c r="F6" s="39" t="str"/>
      <x:c r="G6" s="39" t="str">
        <x:v>2-Wheeler value</x:v>
      </x:c>
      <x:c r="H6" s="39" t="str">
        <x:v>Vehicle_Demo</x:v>
      </x:c>
      <x:c r="I6" s="39" t="str">
        <x:v>Find date and return the stored count.</x:v>
      </x:c>
      <x:c r="J6" s="39" t="str">
        <x:v>High</x:v>
      </x:c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9" t="str">
        <x:v>Q-004</x:v>
      </x:c>
      <x:c r="B7" s="39" t="str">
        <x:v>September ka total attendance batao</x:v>
      </x:c>
      <x:c r="C7" s="39" t="str">
        <x:v>Sum</x:v>
      </x:c>
      <x:c r="D7" s="39" t="str">
        <x:v>September 2026</x:v>
      </x:c>
      <x:c r="E7" s="39" t="str"/>
      <x:c r="F7" s="39" t="str"/>
      <x:c r="G7" s="39" t="str">
        <x:v>SUM Attendance</x:v>
      </x:c>
      <x:c r="H7" s="39" t="str">
        <x:v>Attendance_Demo</x:v>
      </x:c>
      <x:c r="I7" s="39" t="str">
        <x:v>Aggregate all September attendance rows.</x:v>
      </x:c>
      <x:c r="J7" s="39" t="str">
        <x:v>High</x:v>
      </x:c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9" t="str">
        <x:v>Q-005</x:v>
      </x:c>
      <x:c r="B8" s="39" t="str">
        <x:v>Sabhi SK assignments dikhao</x:v>
      </x:c>
      <x:c r="C8" s="39" t="str">
        <x:v>List</x:v>
      </x:c>
      <x:c r="D8" s="39" t="str"/>
      <x:c r="E8" s="39" t="str"/>
      <x:c r="F8" s="39" t="str"/>
      <x:c r="G8" s="39" t="str">
        <x:v>Filter Role = SK</x:v>
      </x:c>
      <x:c r="H8" s="39" t="str">
        <x:v>Assignment_Demo</x:v>
      </x:c>
      <x:c r="I8" s="39" t="str">
        <x:v>Return only rows where role is SK.</x:v>
      </x:c>
      <x:c r="J8" s="39" t="str">
        <x:v>High</x:v>
      </x:c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9" t="str">
        <x:v>Q-006</x:v>
      </x:c>
      <x:c r="B9" s="39" t="str">
        <x:v>Kila Road ka July report chahiye</x:v>
      </x:c>
      <x:c r="C9" s="39" t="str">
        <x:v>Ambiguous report</x:v>
      </x:c>
      <x:c r="D9" s="39" t="str"/>
      <x:c r="E9" s="39" t="str">
        <x:v>Kila Road</x:v>
      </x:c>
      <x:c r="F9" s="39" t="str"/>
      <x:c r="G9" s="39" t="str">
        <x:v>Report type</x:v>
      </x:c>
      <x:c r="H9" s="39" t="str">
        <x:v>Reports_Index</x:v>
      </x:c>
      <x:c r="I9" s="39" t="str">
        <x:v>Ask which July report: Attendance / SK / SR / Wheel.</x:v>
      </x:c>
      <x:c r="J9" s="39" t="str">
        <x:v>High</x:v>
      </x:c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9" t="str">
        <x:v>Q-007</x:v>
      </x:c>
      <x:c r="B10" s="39" t="str">
        <x:v>Bhojraj Rajani kis Satsang Ghar mein tha?</x:v>
      </x:c>
      <x:c r="C10" s="39" t="str">
        <x:v>Find</x:v>
      </x:c>
      <x:c r="D10" s="39" t="str"/>
      <x:c r="E10" s="39" t="str"/>
      <x:c r="F10" s="39" t="str">
        <x:v>Bhojraj Rajani</x:v>
      </x:c>
      <x:c r="G10" s="39" t="str">
        <x:v>Location lookup</x:v>
      </x:c>
      <x:c r="H10" s="39" t="str">
        <x:v>Assignment_Demo / PDF source</x:v>
      </x:c>
      <x:c r="I10" s="39" t="str">
        <x:v>Search person; return matching location(s) and source.</x:v>
      </x:c>
      <x:c r="J10" s="39" t="str">
        <x:v>Medium</x:v>
      </x:c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9" t="str">
        <x:v>Q-008</x:v>
      </x:c>
      <x:c r="B11" s="39" t="str">
        <x:v>September mein sabse zyada attendance kis Satsang Ghar ki thi?</x:v>
      </x:c>
      <x:c r="C11" s="39" t="str">
        <x:v>Compare</x:v>
      </x:c>
      <x:c r="D11" s="39" t="str">
        <x:v>September 2026</x:v>
      </x:c>
      <x:c r="E11" s="39" t="str"/>
      <x:c r="F11" s="39" t="str"/>
      <x:c r="G11" s="39" t="str">
        <x:v>MAX by location</x:v>
      </x:c>
      <x:c r="H11" s="39" t="str">
        <x:v>Attendance_Demo</x:v>
      </x:c>
      <x:c r="I11" s="39" t="str">
        <x:v>Group by location, calculate total/average according to clarified intent; do not guess.</x:v>
      </x:c>
      <x:c r="J11" s="39" t="str">
        <x:v>Medium</x:v>
      </x:c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9" t="str">
        <x:v>Q-009</x:v>
      </x:c>
      <x:c r="B12" s="39" t="str">
        <x:v>CD 413 ka kya content tha?</x:v>
      </x:c>
      <x:c r="C12" s="39" t="str">
        <x:v>Lookup</x:v>
      </x:c>
      <x:c r="D12" s="39" t="str"/>
      <x:c r="E12" s="39" t="str"/>
      <x:c r="F12" s="39" t="str"/>
      <x:c r="G12" s="39" t="str">
        <x:v>CD description</x:v>
      </x:c>
      <x:c r="H12" s="39" t="str">
        <x:v>PDF_Extracted</x:v>
      </x:c>
      <x:c r="I12" s="39" t="str">
        <x:v>Find exact CD number and show description with source.</x:v>
      </x:c>
      <x:c r="J12" s="39" t="str">
        <x:v>Medium</x:v>
      </x:c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9" t="str">
        <x:v>Q-010</x:v>
      </x:c>
      <x:c r="B13" s="39" t="str">
        <x:v>Sukhliya aur Kila Road ki attendance compare karo</x:v>
      </x:c>
      <x:c r="C13" s="39" t="str">
        <x:v>Compare</x:v>
      </x:c>
      <x:c r="D13" s="39" t="str">
        <x:v>September 2026</x:v>
      </x:c>
      <x:c r="E13" s="39" t="str">
        <x:v>Sukhliya + Kila Road</x:v>
      </x:c>
      <x:c r="F13" s="39" t="str"/>
      <x:c r="G13" s="39" t="str">
        <x:v>Compare totals/averages</x:v>
      </x:c>
      <x:c r="H13" s="39" t="str">
        <x:v>Attendance_Demo</x:v>
      </x:c>
      <x:c r="I13" s="39" t="str">
        <x:v>Return side-by-side computed values; no unsupported conclusions.</x:v>
      </x:c>
      <x:c r="J13" s="39" t="str">
        <x:v>Medium</x:v>
      </x:c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9f43fefda024a0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60" hidden="0" customWidth="1"/>
  </x:cols>
  <x:sheetData>
    <x:row r="1" ht="28" customHeight="1">
      <x:c r="A1" s="5" t="str">
        <x:v>Prototype Calculation Checks</x:v>
      </x:c>
      <x:c r="B1" s="5" t="str">
        <x:v>Prototype Calculation Checks</x:v>
      </x:c>
      <x:c r="C1" s="5" t="str">
        <x:v>Prototype Calculation Checks</x:v>
      </x:c>
      <x:c r="D1" s="5" t="str">
        <x:v>Prototype Calculation Checks</x:v>
      </x:c>
      <x:c r="E1" s="5" t="str">
        <x:v>Prototype Calculation Checks</x:v>
      </x:c>
      <x:c r="F1" s="5" t="str">
        <x:v>Prototype Calculation Checks</x:v>
      </x:c>
    </x:row>
    <x:row r="3">
      <x:c r="A3" s="14" t="str">
        <x:v>Metric</x:v>
      </x:c>
      <x:c r="B3" s="14" t="str">
        <x:v>Formula / Source</x:v>
      </x:c>
      <x:c r="C3" s="14" t="str">
        <x:v>Purpose</x:v>
      </x:c>
    </x:row>
    <x:row r="4">
      <x:c r="A4" s="22" t="str">
        <x:v>Assignment rows</x:v>
      </x:c>
      <x:c r="B4" s="32" t="n">
        <x:f>COUNTA(Assignment_Demo!A4:A100)</x:f>
        <x:v>79</x:v>
      </x:c>
      <x:c r="C4" s="22" t="str">
        <x:v>Checks record volume.</x:v>
      </x:c>
    </x:row>
    <x:row r="5">
      <x:c r="A5" s="22" t="str">
        <x:v>Attendance records</x:v>
      </x:c>
      <x:c r="B5" s="32" t="n">
        <x:f>COUNTA(Attendance_Demo!A4:A100)</x:f>
        <x:v>76</x:v>
      </x:c>
      <x:c r="C5" s="22" t="str">
        <x:v>Checks tabular count.</x:v>
      </x:c>
    </x:row>
    <x:row r="6">
      <x:c r="A6" s="22" t="str">
        <x:v>Total attendance</x:v>
      </x:c>
      <x:c r="B6" s="32" t="n">
        <x:f>SUM(Attendance_Demo!F4:F100)</x:f>
        <x:v>7772</x:v>
      </x:c>
      <x:c r="C6" s="22" t="str">
        <x:v>Checks SUM.</x:v>
      </x:c>
    </x:row>
    <x:row r="7">
      <x:c r="A7" s="22" t="str">
        <x:v>Average attendance</x:v>
      </x:c>
      <x:c r="B7" s="32" t="n">
        <x:f>AVERAGE(Attendance_Demo!F4:F100)</x:f>
        <x:v>102.26315789473684</x:v>
      </x:c>
      <x:c r="C7" s="22" t="str">
        <x:v>Checks AVERAGE.</x:v>
      </x:c>
    </x:row>
    <x:row r="8">
      <x:c r="A8" s="22" t="str">
        <x:v>Total vehicles</x:v>
      </x:c>
      <x:c r="B8" s="32" t="n">
        <x:f>SUM(Vehicle_Demo!G4:G100)</x:f>
        <x:v>4831</x:v>
      </x:c>
      <x:c r="C8" s="22" t="str">
        <x:v>Checks SUM on derived totals.</x:v>
      </x:c>
    </x:row>
    <x:row r="9">
      <x:c r="A9" s="22" t="str">
        <x:v>Sukhliya attendance average</x:v>
      </x:c>
      <x:c r="B9" s="32" t="n">
        <x:f>AVERAGEIF(Attendance_Demo!E4:E100,"Sukhliya",Attendance_Demo!F4:F100)</x:f>
        <x:v>87.5</x:v>
      </x:c>
      <x:c r="C9" s="22" t="str">
        <x:v>Checks filtered average once formulas/data are queried by the engine.</x:v>
      </x:c>
    </x:row>
  </x:sheetData>
  <x:mergeCells>
    <x:mergeCell ref="A1:F1"/>
  </x:mergeCells>
  <x:pageMargins left="0.7" right="0.7" top="0.75" bottom="0.75" header="0.3" footer="0.3"/>
</x:worksheet>
</file>